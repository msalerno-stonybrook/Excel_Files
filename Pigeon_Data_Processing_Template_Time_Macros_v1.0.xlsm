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search_Macbook/Desktop/"/>
    </mc:Choice>
  </mc:AlternateContent>
  <bookViews>
    <workbookView xWindow="340" yWindow="460" windowWidth="24460" windowHeight="14620" activeTab="4"/>
  </bookViews>
  <sheets>
    <sheet name="Input Function Calculation" sheetId="1" r:id="rId1"/>
    <sheet name="Plot" sheetId="6" r:id="rId2"/>
    <sheet name="Extra Info" sheetId="2" r:id="rId3"/>
    <sheet name="TAC" sheetId="7" r:id="rId4"/>
    <sheet name="RAW" sheetId="9" r:id="rId5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1" i="2" l="1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6" i="2"/>
  <c r="H7" i="2"/>
  <c r="E38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E23" i="2"/>
  <c r="D23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E6" i="2"/>
  <c r="D6" i="2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30" i="1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23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6" i="2"/>
  <c r="B1" i="2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D3" i="7"/>
  <c r="E3" i="7"/>
  <c r="E10" i="1"/>
  <c r="E29" i="1"/>
  <c r="H29" i="1"/>
  <c r="E30" i="1"/>
  <c r="H30" i="1"/>
  <c r="E31" i="1"/>
  <c r="H31" i="1"/>
  <c r="E32" i="1"/>
  <c r="H32" i="1"/>
  <c r="E33" i="1"/>
  <c r="H33" i="1"/>
  <c r="E34" i="1"/>
  <c r="H34" i="1"/>
  <c r="E35" i="1"/>
  <c r="H35" i="1"/>
  <c r="E36" i="1"/>
  <c r="H36" i="1"/>
  <c r="E37" i="1"/>
  <c r="H37" i="1"/>
  <c r="E38" i="1"/>
  <c r="H38" i="1"/>
  <c r="E39" i="1"/>
  <c r="H39" i="1"/>
  <c r="E40" i="1"/>
  <c r="H40" i="1"/>
  <c r="E41" i="1"/>
  <c r="H41" i="1"/>
  <c r="E42" i="1"/>
  <c r="H42" i="1"/>
  <c r="E43" i="1"/>
  <c r="H43" i="1"/>
  <c r="E44" i="1"/>
  <c r="H44" i="1"/>
  <c r="E45" i="1"/>
  <c r="H45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E23" i="1"/>
  <c r="H23" i="1"/>
  <c r="E24" i="1"/>
  <c r="H24" i="1"/>
  <c r="E25" i="1"/>
  <c r="H25" i="1"/>
  <c r="E26" i="1"/>
  <c r="H26" i="1"/>
  <c r="E27" i="1"/>
  <c r="H27" i="1"/>
  <c r="E28" i="1"/>
  <c r="H28" i="1"/>
  <c r="E13" i="1"/>
  <c r="H13" i="1"/>
  <c r="F21" i="2"/>
  <c r="F38" i="2"/>
  <c r="F20" i="2"/>
  <c r="F37" i="2"/>
  <c r="F19" i="2"/>
  <c r="F36" i="2"/>
  <c r="F18" i="2"/>
  <c r="F35" i="2"/>
  <c r="F17" i="2"/>
  <c r="F34" i="2"/>
  <c r="F16" i="2"/>
  <c r="F33" i="2"/>
  <c r="F15" i="2"/>
  <c r="F32" i="2"/>
  <c r="F14" i="2"/>
  <c r="F31" i="2"/>
  <c r="F13" i="2"/>
  <c r="F30" i="2"/>
  <c r="F12" i="2"/>
  <c r="F29" i="2"/>
  <c r="F11" i="2"/>
  <c r="F28" i="2"/>
  <c r="F10" i="2"/>
  <c r="F27" i="2"/>
  <c r="F9" i="2"/>
  <c r="F26" i="2"/>
  <c r="F8" i="2"/>
  <c r="F25" i="2"/>
  <c r="F7" i="2"/>
  <c r="F24" i="2"/>
  <c r="F6" i="2"/>
  <c r="F23" i="2"/>
  <c r="F22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6" i="2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13" i="1"/>
  <c r="I43" i="1"/>
  <c r="E9" i="1"/>
  <c r="E8" i="1"/>
  <c r="I44" i="1"/>
  <c r="I40" i="1"/>
  <c r="I45" i="1"/>
  <c r="I41" i="1"/>
  <c r="I42" i="1"/>
  <c r="I30" i="1"/>
  <c r="I22" i="1"/>
  <c r="I39" i="1"/>
  <c r="I13" i="1"/>
  <c r="I34" i="1"/>
  <c r="I26" i="1"/>
  <c r="I18" i="1"/>
  <c r="I33" i="1"/>
  <c r="I25" i="1"/>
  <c r="I17" i="1"/>
  <c r="I32" i="1"/>
  <c r="I14" i="1"/>
  <c r="I29" i="1"/>
  <c r="I21" i="1"/>
  <c r="I35" i="1"/>
  <c r="I24" i="1"/>
  <c r="I16" i="1"/>
  <c r="I31" i="1"/>
  <c r="I23" i="1"/>
  <c r="I15" i="1"/>
  <c r="I38" i="1"/>
  <c r="I37" i="1"/>
  <c r="I28" i="1"/>
  <c r="I20" i="1"/>
  <c r="I27" i="1"/>
  <c r="I19" i="1"/>
  <c r="I36" i="1"/>
</calcChain>
</file>

<file path=xl/sharedStrings.xml><?xml version="1.0" encoding="utf-8"?>
<sst xmlns="http://schemas.openxmlformats.org/spreadsheetml/2006/main" count="43" uniqueCount="37">
  <si>
    <t>Date:</t>
  </si>
  <si>
    <t>Scanner:</t>
  </si>
  <si>
    <t>Half-life (minutes):</t>
  </si>
  <si>
    <t>Branching Frac.:</t>
  </si>
  <si>
    <t>Injection time:</t>
  </si>
  <si>
    <t>Blood Density (g/cc):</t>
  </si>
  <si>
    <t>FDG</t>
  </si>
  <si>
    <t>Tracer:</t>
  </si>
  <si>
    <t>Vial</t>
  </si>
  <si>
    <t>Vial + blood weight</t>
  </si>
  <si>
    <t>Time drawn</t>
  </si>
  <si>
    <t>Time counted</t>
  </si>
  <si>
    <t>Activity (net cpm)</t>
  </si>
  <si>
    <t>Vial weight</t>
  </si>
  <si>
    <t>Animal:</t>
  </si>
  <si>
    <t>Syringe</t>
  </si>
  <si>
    <t>Pre-injection</t>
  </si>
  <si>
    <t>Post-injection</t>
  </si>
  <si>
    <t>Activity (mCi)</t>
  </si>
  <si>
    <r>
      <t>Net Activity @ T</t>
    </r>
    <r>
      <rPr>
        <vertAlign val="subscript"/>
        <sz val="11"/>
        <color theme="1"/>
        <rFont val="Calibri"/>
        <family val="2"/>
        <scheme val="minor"/>
      </rPr>
      <t>ref</t>
    </r>
    <r>
      <rPr>
        <sz val="11"/>
        <color theme="1"/>
        <rFont val="Calibri"/>
        <family val="2"/>
        <scheme val="minor"/>
      </rPr>
      <t xml:space="preserve"> (mCi)</t>
    </r>
  </si>
  <si>
    <r>
      <t>Reference time (T</t>
    </r>
    <r>
      <rPr>
        <b/>
        <vertAlign val="subscript"/>
        <sz val="11"/>
        <color theme="1"/>
        <rFont val="Calibri"/>
        <family val="2"/>
        <scheme val="minor"/>
      </rPr>
      <t>ref</t>
    </r>
    <r>
      <rPr>
        <b/>
        <sz val="11"/>
        <color theme="1"/>
        <rFont val="Calibri"/>
        <family val="2"/>
        <scheme val="minor"/>
      </rPr>
      <t>):</t>
    </r>
  </si>
  <si>
    <r>
      <t>Activity @ T</t>
    </r>
    <r>
      <rPr>
        <vertAlign val="subscript"/>
        <sz val="11"/>
        <color theme="1"/>
        <rFont val="Calibri"/>
        <family val="2"/>
        <scheme val="minor"/>
      </rPr>
      <t>ref</t>
    </r>
    <r>
      <rPr>
        <sz val="11"/>
        <color theme="1"/>
        <rFont val="Calibri"/>
        <family val="2"/>
        <scheme val="minor"/>
      </rPr>
      <t xml:space="preserve"> (uCi)</t>
    </r>
  </si>
  <si>
    <t>Wipe Counter eff:</t>
  </si>
  <si>
    <r>
      <t>uCi/cc @ T</t>
    </r>
    <r>
      <rPr>
        <vertAlign val="subscript"/>
        <sz val="11"/>
        <color theme="1"/>
        <rFont val="Calibri"/>
        <family val="2"/>
        <scheme val="minor"/>
      </rPr>
      <t>ref</t>
    </r>
  </si>
  <si>
    <r>
      <t>% of injected dose @ T</t>
    </r>
    <r>
      <rPr>
        <vertAlign val="subscript"/>
        <sz val="11"/>
        <color theme="1"/>
        <rFont val="Calibri"/>
        <family val="2"/>
        <scheme val="minor"/>
      </rPr>
      <t>ref</t>
    </r>
  </si>
  <si>
    <t>Blood weight</t>
  </si>
  <si>
    <t>Time post-injection</t>
  </si>
  <si>
    <t>Time post inj.</t>
  </si>
  <si>
    <t>Blood Weight</t>
  </si>
  <si>
    <t xml:space="preserve"> between measurements</t>
  </si>
  <si>
    <t>Weight difference %</t>
  </si>
  <si>
    <t>Time [seconds]</t>
  </si>
  <si>
    <t>Averaged [kBq/cc]</t>
  </si>
  <si>
    <t>% of Injected Dose</t>
  </si>
  <si>
    <t>Peak</t>
  </si>
  <si>
    <t>Activity [kBq/cc]</t>
  </si>
  <si>
    <t>Time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</si>
</sst>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[$-F400]h:mm:ss\ AM/PM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2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3" borderId="4" applyNumberFormat="0" applyAlignment="0" applyProtection="0"/>
    <xf numFmtId="0" fontId="10" fillId="0" borderId="5" applyNumberFormat="0" applyFill="0" applyAlignment="0" applyProtection="0"/>
  </cellStyleXfs>
  <cellXfs count="24">
    <xf numFmtId="0" fontId="0" fillId="0" borderId="0" xfId="0"/>
    <xf numFmtId="14" fontId="1" fillId="2" borderId="1" xfId="1" applyNumberFormat="1"/>
    <xf numFmtId="0" fontId="1" fillId="2" borderId="1" xfId="1"/>
    <xf numFmtId="0" fontId="2" fillId="3" borderId="1" xfId="2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1" fillId="2" borderId="1" xfId="1" applyNumberFormat="1"/>
    <xf numFmtId="0" fontId="2" fillId="3" borderId="1" xfId="2" applyNumberFormat="1"/>
    <xf numFmtId="0" fontId="0" fillId="0" borderId="0" xfId="0" applyFill="1" applyBorder="1" applyAlignment="1">
      <alignment horizontal="left"/>
    </xf>
    <xf numFmtId="21" fontId="1" fillId="2" borderId="1" xfId="1" applyNumberFormat="1"/>
    <xf numFmtId="164" fontId="0" fillId="0" borderId="0" xfId="0" applyNumberFormat="1"/>
    <xf numFmtId="164" fontId="2" fillId="3" borderId="1" xfId="2" applyNumberFormat="1"/>
    <xf numFmtId="0" fontId="6" fillId="2" borderId="1" xfId="1" applyFont="1" applyAlignment="1">
      <alignment horizontal="center"/>
    </xf>
    <xf numFmtId="0" fontId="8" fillId="0" borderId="3" xfId="4"/>
    <xf numFmtId="0" fontId="2" fillId="3" borderId="1" xfId="2" applyAlignment="1">
      <alignment horizontal="center"/>
    </xf>
    <xf numFmtId="2" fontId="1" fillId="2" borderId="1" xfId="1" applyNumberFormat="1" applyAlignment="1">
      <alignment horizontal="right"/>
    </xf>
    <xf numFmtId="2" fontId="2" fillId="3" borderId="1" xfId="2" applyNumberFormat="1" applyAlignment="1">
      <alignment horizontal="center" vertical="center"/>
    </xf>
    <xf numFmtId="2" fontId="9" fillId="3" borderId="4" xfId="5" applyNumberFormat="1" applyAlignment="1">
      <alignment horizontal="center"/>
    </xf>
    <xf numFmtId="165" fontId="1" fillId="2" borderId="1" xfId="1" applyNumberFormat="1" applyAlignment="1">
      <alignment horizontal="right"/>
    </xf>
    <xf numFmtId="0" fontId="10" fillId="0" borderId="5" xfId="6" applyAlignment="1">
      <alignment horizontal="center" vertical="center"/>
    </xf>
    <xf numFmtId="165" fontId="10" fillId="0" borderId="5" xfId="6" applyNumberFormat="1" applyAlignment="1">
      <alignment horizontal="center" vertical="center"/>
    </xf>
    <xf numFmtId="10" fontId="2" fillId="3" borderId="1" xfId="2" applyNumberFormat="1" applyAlignment="1">
      <alignment horizontal="center" vertical="center"/>
    </xf>
    <xf numFmtId="0" fontId="7" fillId="0" borderId="2" xfId="3" applyAlignment="1">
      <alignment horizontal="center"/>
    </xf>
  </cellXfs>
  <cellStyles count="7">
    <cellStyle name="Calculation" xfId="2" builtinId="22"/>
    <cellStyle name="Heading 1" xfId="3" builtinId="16"/>
    <cellStyle name="Heading 2" xfId="4" builtinId="17"/>
    <cellStyle name="Input" xfId="1" builtinId="20"/>
    <cellStyle name="Linked Cell" xfId="6" builtinId="24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chartsheet" Target="chartsheets/sheet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uCi/cc @ Tref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Measurement 1</c:v>
          </c:tx>
          <c:xVal>
            <c:numRef>
              <c:f>'Input Function Calculation'!$K$13:$K$28</c:f>
              <c:numCache>
                <c:formatCode>h:mm:ss;@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xVal>
          <c:yVal>
            <c:numRef>
              <c:f>'Input Function Calculation'!$H$13:$H$28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yVal>
          <c:smooth val="0"/>
        </c:ser>
        <c:ser>
          <c:idx val="0"/>
          <c:order val="1"/>
          <c:tx>
            <c:v>Measurement 2</c:v>
          </c:tx>
          <c:xVal>
            <c:numRef>
              <c:f>'Input Function Calculation'!$K$13:$K$28</c:f>
              <c:numCache>
                <c:formatCode>h:mm:ss;@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xVal>
          <c:yVal>
            <c:numRef>
              <c:f>'Input Function Calculation'!$H$30:$H$45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0005680"/>
        <c:axId val="-729954224"/>
      </c:scatterChart>
      <c:valAx>
        <c:axId val="-670005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(post injection)</a:t>
                </a:r>
              </a:p>
            </c:rich>
          </c:tx>
          <c:layout/>
          <c:overlay val="0"/>
        </c:title>
        <c:numFmt formatCode="h:mm:ss;@" sourceLinked="1"/>
        <c:majorTickMark val="out"/>
        <c:minorTickMark val="none"/>
        <c:tickLblPos val="nextTo"/>
        <c:crossAx val="-729954224"/>
        <c:crosses val="autoZero"/>
        <c:crossBetween val="midCat"/>
      </c:valAx>
      <c:valAx>
        <c:axId val="-72995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uCi/cc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700056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Averaged Activity</a:t>
            </a:r>
            <a:r>
              <a:rPr lang="en-US" baseline="0"/>
              <a:t> </a:t>
            </a:r>
            <a:r>
              <a:rPr lang="en-US"/>
              <a:t>[kBq/cc]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TAC!$B$1</c:f>
              <c:strCache>
                <c:ptCount val="1"/>
                <c:pt idx="0">
                  <c:v>Averaged [kBq/cc]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TAC!$A$2:$A$59</c:f>
              <c:numCache>
                <c:formatCode>[$-F400]h:mm:ss\ AM/PM</c:formatCode>
                <c:ptCount val="58"/>
              </c:numCache>
            </c:numRef>
          </c:xVal>
          <c:yVal>
            <c:numRef>
              <c:f>TAC!$B$2:$B$59</c:f>
              <c:numCache>
                <c:formatCode>0.00</c:formatCode>
                <c:ptCount val="58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71883648"/>
        <c:axId val="-699893120"/>
      </c:scatterChart>
      <c:valAx>
        <c:axId val="-77188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9893120"/>
        <c:crosses val="autoZero"/>
        <c:crossBetween val="midCat"/>
      </c:valAx>
      <c:valAx>
        <c:axId val="-69989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Activity</a:t>
                </a:r>
                <a:r>
                  <a:rPr lang="en-US" baseline="0"/>
                  <a:t> [kBq/cc]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7188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Averaged</a:t>
            </a:r>
            <a:r>
              <a:rPr lang="en-US" baseline="0"/>
              <a:t> Activity as </a:t>
            </a:r>
            <a:r>
              <a:rPr lang="en-US"/>
              <a:t>% of Injected Dose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TAC!$C$1</c:f>
              <c:strCache>
                <c:ptCount val="1"/>
                <c:pt idx="0">
                  <c:v>% of Injected Dose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TAC!$A$2:$A$59</c:f>
              <c:numCache>
                <c:formatCode>[$-F400]h:mm:ss\ AM/PM</c:formatCode>
                <c:ptCount val="58"/>
              </c:numCache>
            </c:numRef>
          </c:xVal>
          <c:yVal>
            <c:numRef>
              <c:f>TAC!$C$2:$C$59</c:f>
              <c:numCache>
                <c:formatCode>0.00</c:formatCode>
                <c:ptCount val="5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11853552"/>
        <c:axId val="-612059088"/>
      </c:scatterChart>
      <c:valAx>
        <c:axId val="-61185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12059088"/>
        <c:crosses val="autoZero"/>
        <c:crossBetween val="midCat"/>
      </c:valAx>
      <c:valAx>
        <c:axId val="-61205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(%) of Injected DOse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1185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340" cy="62900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0</xdr:row>
      <xdr:rowOff>0</xdr:rowOff>
    </xdr:from>
    <xdr:to>
      <xdr:col>14</xdr:col>
      <xdr:colOff>812800</xdr:colOff>
      <xdr:row>27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31750</xdr:colOff>
      <xdr:row>27</xdr:row>
      <xdr:rowOff>127000</xdr:rowOff>
    </xdr:from>
    <xdr:to>
      <xdr:col>14</xdr:col>
      <xdr:colOff>762000</xdr:colOff>
      <xdr:row>55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46"/>
  <sheetViews>
    <sheetView workbookViewId="0">
      <selection activeCell="A47" sqref="A47"/>
    </sheetView>
  </sheetViews>
  <sheetFormatPr baseColWidth="10" defaultColWidth="8.83203125" defaultRowHeight="15" x14ac:dyDescent="0.2"/>
  <cols>
    <col min="1" max="1" width="23.5" customWidth="1"/>
    <col min="2" max="2" width="15.6640625" customWidth="1"/>
    <col min="3" max="3" width="17.33203125" customWidth="1"/>
    <col min="4" max="4" width="16.1640625" customWidth="1"/>
    <col min="5" max="5" width="24" customWidth="1"/>
    <col min="6" max="6" width="15.6640625" customWidth="1"/>
    <col min="7" max="7" width="23.33203125" customWidth="1"/>
    <col min="8" max="8" width="21.1640625" customWidth="1"/>
    <col min="9" max="9" width="22.83203125" customWidth="1"/>
    <col min="10" max="11" width="16.1640625" customWidth="1"/>
    <col min="13" max="13" width="18" customWidth="1"/>
  </cols>
  <sheetData>
    <row r="1" spans="1:11" x14ac:dyDescent="0.2">
      <c r="A1" s="4" t="s">
        <v>0</v>
      </c>
      <c r="B1" s="1"/>
      <c r="D1" t="s">
        <v>7</v>
      </c>
      <c r="E1" s="13" t="s">
        <v>6</v>
      </c>
      <c r="G1" t="s">
        <v>5</v>
      </c>
      <c r="H1" s="13">
        <v>1.06</v>
      </c>
    </row>
    <row r="2" spans="1:11" x14ac:dyDescent="0.2">
      <c r="A2" s="4" t="s">
        <v>1</v>
      </c>
      <c r="B2" s="2"/>
      <c r="D2" t="s">
        <v>2</v>
      </c>
      <c r="E2" s="13">
        <v>109.77</v>
      </c>
    </row>
    <row r="3" spans="1:11" x14ac:dyDescent="0.2">
      <c r="A3" s="4" t="s">
        <v>14</v>
      </c>
      <c r="B3" s="2"/>
      <c r="D3" t="s">
        <v>3</v>
      </c>
      <c r="E3" s="13">
        <v>0.97</v>
      </c>
    </row>
    <row r="4" spans="1:11" x14ac:dyDescent="0.2">
      <c r="A4" s="4" t="s">
        <v>4</v>
      </c>
      <c r="B4" s="7"/>
      <c r="D4" t="s">
        <v>22</v>
      </c>
      <c r="E4" s="13">
        <v>0.30199999999999999</v>
      </c>
    </row>
    <row r="5" spans="1:11" x14ac:dyDescent="0.2">
      <c r="E5" s="4"/>
    </row>
    <row r="7" spans="1:11" ht="17" x14ac:dyDescent="0.25">
      <c r="A7" s="6" t="s">
        <v>15</v>
      </c>
      <c r="C7" s="6" t="s">
        <v>11</v>
      </c>
      <c r="D7" s="6" t="s">
        <v>18</v>
      </c>
      <c r="E7" s="6" t="s">
        <v>19</v>
      </c>
    </row>
    <row r="8" spans="1:11" x14ac:dyDescent="0.2">
      <c r="A8" s="4" t="s">
        <v>16</v>
      </c>
      <c r="C8" s="7"/>
      <c r="D8" s="2"/>
      <c r="E8" s="8">
        <f>D8*0.5^(($C$10-C8)*24*60/$E$2)</f>
        <v>0</v>
      </c>
    </row>
    <row r="9" spans="1:11" x14ac:dyDescent="0.2">
      <c r="A9" s="9" t="s">
        <v>17</v>
      </c>
      <c r="C9" s="7"/>
      <c r="D9" s="2"/>
      <c r="E9" s="8">
        <f>D9*0.5^(($C$10-C9)*24*60/$E$2)</f>
        <v>0</v>
      </c>
    </row>
    <row r="10" spans="1:11" ht="17" x14ac:dyDescent="0.25">
      <c r="A10" s="5" t="s">
        <v>20</v>
      </c>
      <c r="C10" s="7"/>
      <c r="E10" s="8">
        <f>D8*0.5^(($C$10-C8)*24*60/$E$2)-D9*0.5^(($C$10-C9)*24*60/$E$2)</f>
        <v>0</v>
      </c>
    </row>
    <row r="12" spans="1:11" ht="17" x14ac:dyDescent="0.25">
      <c r="A12" s="6" t="s">
        <v>8</v>
      </c>
      <c r="B12" s="6" t="s">
        <v>10</v>
      </c>
      <c r="C12" s="6" t="s">
        <v>11</v>
      </c>
      <c r="D12" s="6" t="s">
        <v>12</v>
      </c>
      <c r="E12" s="6" t="s">
        <v>21</v>
      </c>
      <c r="F12" s="6" t="s">
        <v>13</v>
      </c>
      <c r="G12" s="6" t="s">
        <v>9</v>
      </c>
      <c r="H12" s="6" t="s">
        <v>23</v>
      </c>
      <c r="I12" t="s">
        <v>24</v>
      </c>
      <c r="J12" s="6" t="s">
        <v>25</v>
      </c>
      <c r="K12" s="6" t="s">
        <v>26</v>
      </c>
    </row>
    <row r="13" spans="1:11" x14ac:dyDescent="0.2">
      <c r="A13" s="6">
        <v>1</v>
      </c>
      <c r="B13" s="7"/>
      <c r="C13" s="7"/>
      <c r="D13" s="2"/>
      <c r="E13" s="3">
        <f>((D13/(60*3.7*10^4))*0.5^((B13-C13)*24*60/E$2))/$E$4</f>
        <v>0</v>
      </c>
      <c r="F13" s="2"/>
      <c r="G13" s="2"/>
      <c r="H13" s="8" t="e">
        <f>E13/((G13-F13)*H$1)</f>
        <v>#DIV/0!</v>
      </c>
      <c r="I13" s="3" t="e">
        <f>(H13/($E$10*1000))*100</f>
        <v>#DIV/0!</v>
      </c>
      <c r="J13">
        <f>G13-F13</f>
        <v>0</v>
      </c>
      <c r="K13" s="11">
        <f>B13-C$10</f>
        <v>0</v>
      </c>
    </row>
    <row r="14" spans="1:11" x14ac:dyDescent="0.2">
      <c r="A14" s="6">
        <v>2</v>
      </c>
      <c r="B14" s="7"/>
      <c r="C14" s="7"/>
      <c r="D14" s="2"/>
      <c r="E14" s="3">
        <f t="shared" ref="E14:E26" si="0">((D14/(60*3.7*10^4))*0.5^((B14-C14)*24*60/E$2))/$E$4</f>
        <v>0</v>
      </c>
      <c r="F14" s="2"/>
      <c r="G14" s="2"/>
      <c r="H14" s="8" t="e">
        <f t="shared" ref="H14:H45" si="1">E14/((G14-F14)*H$1)</f>
        <v>#DIV/0!</v>
      </c>
      <c r="I14" s="3" t="e">
        <f t="shared" ref="I14:I26" si="2">(H14/($E$10*1000))*100</f>
        <v>#DIV/0!</v>
      </c>
      <c r="J14">
        <f t="shared" ref="J14:J45" si="3">G14-F14</f>
        <v>0</v>
      </c>
      <c r="K14" s="11">
        <f t="shared" ref="K14:K28" si="4">B14-C$10</f>
        <v>0</v>
      </c>
    </row>
    <row r="15" spans="1:11" x14ac:dyDescent="0.2">
      <c r="A15" s="6">
        <v>3</v>
      </c>
      <c r="B15" s="7"/>
      <c r="C15" s="7"/>
      <c r="D15" s="2"/>
      <c r="E15" s="3">
        <f t="shared" si="0"/>
        <v>0</v>
      </c>
      <c r="F15" s="2"/>
      <c r="G15" s="2"/>
      <c r="H15" s="8" t="e">
        <f t="shared" si="1"/>
        <v>#DIV/0!</v>
      </c>
      <c r="I15" s="3" t="e">
        <f t="shared" si="2"/>
        <v>#DIV/0!</v>
      </c>
      <c r="J15">
        <f t="shared" si="3"/>
        <v>0</v>
      </c>
      <c r="K15" s="11">
        <f t="shared" si="4"/>
        <v>0</v>
      </c>
    </row>
    <row r="16" spans="1:11" x14ac:dyDescent="0.2">
      <c r="A16" s="6">
        <v>4</v>
      </c>
      <c r="B16" s="7"/>
      <c r="C16" s="7"/>
      <c r="D16" s="2"/>
      <c r="E16" s="3">
        <f t="shared" si="0"/>
        <v>0</v>
      </c>
      <c r="F16" s="2"/>
      <c r="G16" s="2"/>
      <c r="H16" s="8" t="e">
        <f t="shared" si="1"/>
        <v>#DIV/0!</v>
      </c>
      <c r="I16" s="3" t="e">
        <f t="shared" si="2"/>
        <v>#DIV/0!</v>
      </c>
      <c r="J16">
        <f t="shared" si="3"/>
        <v>0</v>
      </c>
      <c r="K16" s="11">
        <f t="shared" si="4"/>
        <v>0</v>
      </c>
    </row>
    <row r="17" spans="1:11" x14ac:dyDescent="0.2">
      <c r="A17" s="6">
        <v>5</v>
      </c>
      <c r="B17" s="7"/>
      <c r="C17" s="7"/>
      <c r="D17" s="2"/>
      <c r="E17" s="3">
        <f t="shared" si="0"/>
        <v>0</v>
      </c>
      <c r="F17" s="2"/>
      <c r="G17" s="2"/>
      <c r="H17" s="8" t="e">
        <f t="shared" si="1"/>
        <v>#DIV/0!</v>
      </c>
      <c r="I17" s="3" t="e">
        <f t="shared" si="2"/>
        <v>#DIV/0!</v>
      </c>
      <c r="J17">
        <f t="shared" si="3"/>
        <v>0</v>
      </c>
      <c r="K17" s="11">
        <f t="shared" si="4"/>
        <v>0</v>
      </c>
    </row>
    <row r="18" spans="1:11" x14ac:dyDescent="0.2">
      <c r="A18" s="6">
        <v>6</v>
      </c>
      <c r="B18" s="7"/>
      <c r="C18" s="7"/>
      <c r="D18" s="2"/>
      <c r="E18" s="3">
        <f t="shared" si="0"/>
        <v>0</v>
      </c>
      <c r="F18" s="2"/>
      <c r="G18" s="2"/>
      <c r="H18" s="8" t="e">
        <f t="shared" si="1"/>
        <v>#DIV/0!</v>
      </c>
      <c r="I18" s="3" t="e">
        <f t="shared" si="2"/>
        <v>#DIV/0!</v>
      </c>
      <c r="J18">
        <f t="shared" si="3"/>
        <v>0</v>
      </c>
      <c r="K18" s="11">
        <f t="shared" si="4"/>
        <v>0</v>
      </c>
    </row>
    <row r="19" spans="1:11" x14ac:dyDescent="0.2">
      <c r="A19" s="6">
        <v>7</v>
      </c>
      <c r="B19" s="7"/>
      <c r="C19" s="7"/>
      <c r="D19" s="2"/>
      <c r="E19" s="3">
        <f>((D19/(60*3.7*10^4))*0.5^((B19-C19)*24*60/E$2))/$E$4</f>
        <v>0</v>
      </c>
      <c r="F19" s="2"/>
      <c r="G19" s="2"/>
      <c r="H19" s="8" t="e">
        <f t="shared" si="1"/>
        <v>#DIV/0!</v>
      </c>
      <c r="I19" s="3" t="e">
        <f t="shared" si="2"/>
        <v>#DIV/0!</v>
      </c>
      <c r="J19">
        <f t="shared" si="3"/>
        <v>0</v>
      </c>
      <c r="K19" s="11">
        <f t="shared" si="4"/>
        <v>0</v>
      </c>
    </row>
    <row r="20" spans="1:11" x14ac:dyDescent="0.2">
      <c r="A20" s="6">
        <v>8</v>
      </c>
      <c r="B20" s="7"/>
      <c r="C20" s="7"/>
      <c r="D20" s="2"/>
      <c r="E20" s="3">
        <f>((D20/(60*3.7*10^4))*0.5^((B20-C20)*24*60/E$2))/$E$4</f>
        <v>0</v>
      </c>
      <c r="F20" s="2"/>
      <c r="G20" s="2"/>
      <c r="H20" s="8" t="e">
        <f t="shared" si="1"/>
        <v>#DIV/0!</v>
      </c>
      <c r="I20" s="3" t="e">
        <f t="shared" si="2"/>
        <v>#DIV/0!</v>
      </c>
      <c r="J20">
        <f t="shared" si="3"/>
        <v>0</v>
      </c>
      <c r="K20" s="11">
        <f t="shared" si="4"/>
        <v>0</v>
      </c>
    </row>
    <row r="21" spans="1:11" x14ac:dyDescent="0.2">
      <c r="A21" s="6">
        <v>9</v>
      </c>
      <c r="B21" s="7"/>
      <c r="C21" s="7"/>
      <c r="D21" s="2"/>
      <c r="E21" s="3">
        <f t="shared" si="0"/>
        <v>0</v>
      </c>
      <c r="F21" s="2"/>
      <c r="G21" s="2"/>
      <c r="H21" s="8" t="e">
        <f t="shared" si="1"/>
        <v>#DIV/0!</v>
      </c>
      <c r="I21" s="3" t="e">
        <f t="shared" si="2"/>
        <v>#DIV/0!</v>
      </c>
      <c r="J21">
        <f t="shared" si="3"/>
        <v>0</v>
      </c>
      <c r="K21" s="11">
        <f t="shared" si="4"/>
        <v>0</v>
      </c>
    </row>
    <row r="22" spans="1:11" x14ac:dyDescent="0.2">
      <c r="A22" s="6">
        <v>10</v>
      </c>
      <c r="B22" s="7"/>
      <c r="C22" s="7"/>
      <c r="D22" s="2"/>
      <c r="E22" s="3">
        <f t="shared" si="0"/>
        <v>0</v>
      </c>
      <c r="F22" s="2"/>
      <c r="G22" s="2"/>
      <c r="H22" s="8" t="e">
        <f t="shared" si="1"/>
        <v>#DIV/0!</v>
      </c>
      <c r="I22" s="3" t="e">
        <f t="shared" si="2"/>
        <v>#DIV/0!</v>
      </c>
      <c r="J22">
        <f t="shared" si="3"/>
        <v>0</v>
      </c>
      <c r="K22" s="11">
        <f t="shared" si="4"/>
        <v>0</v>
      </c>
    </row>
    <row r="23" spans="1:11" x14ac:dyDescent="0.2">
      <c r="A23" s="6">
        <v>11</v>
      </c>
      <c r="B23" s="7"/>
      <c r="C23" s="7"/>
      <c r="D23" s="2"/>
      <c r="E23" s="3">
        <f t="shared" si="0"/>
        <v>0</v>
      </c>
      <c r="F23" s="2"/>
      <c r="G23" s="2"/>
      <c r="H23" s="8" t="e">
        <f t="shared" si="1"/>
        <v>#DIV/0!</v>
      </c>
      <c r="I23" s="3" t="e">
        <f t="shared" si="2"/>
        <v>#DIV/0!</v>
      </c>
      <c r="J23">
        <f t="shared" si="3"/>
        <v>0</v>
      </c>
      <c r="K23" s="11">
        <f t="shared" si="4"/>
        <v>0</v>
      </c>
    </row>
    <row r="24" spans="1:11" x14ac:dyDescent="0.2">
      <c r="A24" s="6">
        <v>12</v>
      </c>
      <c r="B24" s="7"/>
      <c r="C24" s="7"/>
      <c r="D24" s="2"/>
      <c r="E24" s="3">
        <f t="shared" si="0"/>
        <v>0</v>
      </c>
      <c r="F24" s="2"/>
      <c r="G24" s="2"/>
      <c r="H24" s="8" t="e">
        <f t="shared" si="1"/>
        <v>#DIV/0!</v>
      </c>
      <c r="I24" s="3" t="e">
        <f t="shared" si="2"/>
        <v>#DIV/0!</v>
      </c>
      <c r="J24">
        <f t="shared" si="3"/>
        <v>0</v>
      </c>
      <c r="K24" s="11">
        <f t="shared" si="4"/>
        <v>0</v>
      </c>
    </row>
    <row r="25" spans="1:11" x14ac:dyDescent="0.2">
      <c r="A25" s="6">
        <v>13</v>
      </c>
      <c r="B25" s="7"/>
      <c r="C25" s="7"/>
      <c r="D25" s="2"/>
      <c r="E25" s="3">
        <f t="shared" si="0"/>
        <v>0</v>
      </c>
      <c r="F25" s="2"/>
      <c r="G25" s="2"/>
      <c r="H25" s="8" t="e">
        <f t="shared" si="1"/>
        <v>#DIV/0!</v>
      </c>
      <c r="I25" s="3" t="e">
        <f t="shared" si="2"/>
        <v>#DIV/0!</v>
      </c>
      <c r="J25">
        <f t="shared" si="3"/>
        <v>0</v>
      </c>
      <c r="K25" s="11">
        <f t="shared" si="4"/>
        <v>0</v>
      </c>
    </row>
    <row r="26" spans="1:11" x14ac:dyDescent="0.2">
      <c r="A26" s="6">
        <v>14</v>
      </c>
      <c r="B26" s="7"/>
      <c r="C26" s="7"/>
      <c r="D26" s="2"/>
      <c r="E26" s="3">
        <f t="shared" si="0"/>
        <v>0</v>
      </c>
      <c r="F26" s="2"/>
      <c r="G26" s="2"/>
      <c r="H26" s="8" t="e">
        <f t="shared" si="1"/>
        <v>#DIV/0!</v>
      </c>
      <c r="I26" s="3" t="e">
        <f t="shared" si="2"/>
        <v>#DIV/0!</v>
      </c>
      <c r="J26">
        <f t="shared" si="3"/>
        <v>0</v>
      </c>
      <c r="K26" s="11">
        <f t="shared" si="4"/>
        <v>0</v>
      </c>
    </row>
    <row r="27" spans="1:11" x14ac:dyDescent="0.2">
      <c r="A27" s="6">
        <v>15</v>
      </c>
      <c r="B27" s="7"/>
      <c r="C27" s="7"/>
      <c r="D27" s="2"/>
      <c r="E27" s="3">
        <f t="shared" ref="E27:E39" si="5">((D27/(60*3.7*10^4))*0.5^((B27-C27)*24*60/E$2))/$E$4</f>
        <v>0</v>
      </c>
      <c r="F27" s="2"/>
      <c r="G27" s="2"/>
      <c r="H27" s="8" t="e">
        <f t="shared" si="1"/>
        <v>#DIV/0!</v>
      </c>
      <c r="I27" s="3" t="e">
        <f t="shared" ref="I27:I45" si="6">(H27/($E$10*1000))*100</f>
        <v>#DIV/0!</v>
      </c>
      <c r="J27">
        <f t="shared" si="3"/>
        <v>0</v>
      </c>
      <c r="K27" s="11">
        <f t="shared" si="4"/>
        <v>0</v>
      </c>
    </row>
    <row r="28" spans="1:11" x14ac:dyDescent="0.2">
      <c r="A28" s="6">
        <v>16</v>
      </c>
      <c r="B28" s="7"/>
      <c r="C28" s="7"/>
      <c r="D28" s="2"/>
      <c r="E28" s="3">
        <f t="shared" si="5"/>
        <v>0</v>
      </c>
      <c r="F28" s="2"/>
      <c r="G28" s="2"/>
      <c r="H28" s="8" t="e">
        <f t="shared" si="1"/>
        <v>#DIV/0!</v>
      </c>
      <c r="I28" s="3" t="e">
        <f t="shared" si="6"/>
        <v>#DIV/0!</v>
      </c>
      <c r="J28">
        <f t="shared" si="3"/>
        <v>0</v>
      </c>
      <c r="K28" s="11">
        <f t="shared" si="4"/>
        <v>0</v>
      </c>
    </row>
    <row r="29" spans="1:11" x14ac:dyDescent="0.2">
      <c r="A29" s="6"/>
      <c r="B29" s="7"/>
      <c r="C29" s="7"/>
      <c r="D29" s="2"/>
      <c r="E29" s="3">
        <f t="shared" si="5"/>
        <v>0</v>
      </c>
      <c r="F29" s="2"/>
      <c r="G29" s="2"/>
      <c r="H29" s="8" t="e">
        <f t="shared" si="1"/>
        <v>#DIV/0!</v>
      </c>
      <c r="I29" s="3" t="e">
        <f t="shared" si="6"/>
        <v>#DIV/0!</v>
      </c>
      <c r="J29">
        <f t="shared" si="3"/>
        <v>0</v>
      </c>
    </row>
    <row r="30" spans="1:11" ht="17" thickBot="1" x14ac:dyDescent="0.25">
      <c r="A30" s="6">
        <v>1</v>
      </c>
      <c r="B30" s="21">
        <f>B13</f>
        <v>0</v>
      </c>
      <c r="C30" s="7"/>
      <c r="D30" s="2"/>
      <c r="E30" s="3">
        <f t="shared" si="5"/>
        <v>0</v>
      </c>
      <c r="F30" s="2"/>
      <c r="G30" s="2"/>
      <c r="H30" s="8" t="e">
        <f t="shared" si="1"/>
        <v>#DIV/0!</v>
      </c>
      <c r="I30" s="3" t="e">
        <f t="shared" si="6"/>
        <v>#DIV/0!</v>
      </c>
      <c r="J30">
        <f t="shared" si="3"/>
        <v>0</v>
      </c>
    </row>
    <row r="31" spans="1:11" ht="18" thickTop="1" thickBot="1" x14ac:dyDescent="0.25">
      <c r="A31" s="6">
        <v>2</v>
      </c>
      <c r="B31" s="21">
        <f t="shared" ref="B31:B45" si="7">B14</f>
        <v>0</v>
      </c>
      <c r="C31" s="7"/>
      <c r="D31" s="2"/>
      <c r="E31" s="3">
        <f t="shared" si="5"/>
        <v>0</v>
      </c>
      <c r="F31" s="2"/>
      <c r="G31" s="2"/>
      <c r="H31" s="8" t="e">
        <f t="shared" si="1"/>
        <v>#DIV/0!</v>
      </c>
      <c r="I31" s="3" t="e">
        <f t="shared" si="6"/>
        <v>#DIV/0!</v>
      </c>
      <c r="J31">
        <f t="shared" si="3"/>
        <v>0</v>
      </c>
    </row>
    <row r="32" spans="1:11" ht="18" thickTop="1" thickBot="1" x14ac:dyDescent="0.25">
      <c r="A32" s="6">
        <v>3</v>
      </c>
      <c r="B32" s="21">
        <f t="shared" si="7"/>
        <v>0</v>
      </c>
      <c r="C32" s="7"/>
      <c r="D32" s="2"/>
      <c r="E32" s="3">
        <f t="shared" si="5"/>
        <v>0</v>
      </c>
      <c r="F32" s="2"/>
      <c r="G32" s="2"/>
      <c r="H32" s="8" t="e">
        <f t="shared" si="1"/>
        <v>#DIV/0!</v>
      </c>
      <c r="I32" s="3" t="e">
        <f t="shared" si="6"/>
        <v>#DIV/0!</v>
      </c>
      <c r="J32">
        <f t="shared" si="3"/>
        <v>0</v>
      </c>
    </row>
    <row r="33" spans="1:10" ht="18" thickTop="1" thickBot="1" x14ac:dyDescent="0.25">
      <c r="A33" s="6">
        <v>4</v>
      </c>
      <c r="B33" s="21">
        <f t="shared" si="7"/>
        <v>0</v>
      </c>
      <c r="C33" s="7"/>
      <c r="D33" s="2"/>
      <c r="E33" s="3">
        <f t="shared" si="5"/>
        <v>0</v>
      </c>
      <c r="F33" s="2"/>
      <c r="G33" s="2"/>
      <c r="H33" s="8" t="e">
        <f t="shared" si="1"/>
        <v>#DIV/0!</v>
      </c>
      <c r="I33" s="3" t="e">
        <f t="shared" si="6"/>
        <v>#DIV/0!</v>
      </c>
      <c r="J33">
        <f t="shared" si="3"/>
        <v>0</v>
      </c>
    </row>
    <row r="34" spans="1:10" ht="18" thickTop="1" thickBot="1" x14ac:dyDescent="0.25">
      <c r="A34" s="6">
        <v>5</v>
      </c>
      <c r="B34" s="21">
        <f t="shared" si="7"/>
        <v>0</v>
      </c>
      <c r="C34" s="7"/>
      <c r="D34" s="2"/>
      <c r="E34" s="3">
        <f t="shared" si="5"/>
        <v>0</v>
      </c>
      <c r="F34" s="2"/>
      <c r="G34" s="2"/>
      <c r="H34" s="8" t="e">
        <f t="shared" si="1"/>
        <v>#DIV/0!</v>
      </c>
      <c r="I34" s="3" t="e">
        <f t="shared" si="6"/>
        <v>#DIV/0!</v>
      </c>
      <c r="J34">
        <f t="shared" si="3"/>
        <v>0</v>
      </c>
    </row>
    <row r="35" spans="1:10" ht="18" thickTop="1" thickBot="1" x14ac:dyDescent="0.25">
      <c r="A35" s="6">
        <v>6</v>
      </c>
      <c r="B35" s="21">
        <f t="shared" si="7"/>
        <v>0</v>
      </c>
      <c r="C35" s="7"/>
      <c r="D35" s="2"/>
      <c r="E35" s="3">
        <f t="shared" si="5"/>
        <v>0</v>
      </c>
      <c r="F35" s="2"/>
      <c r="G35" s="2"/>
      <c r="H35" s="8" t="e">
        <f t="shared" si="1"/>
        <v>#DIV/0!</v>
      </c>
      <c r="I35" s="3" t="e">
        <f t="shared" si="6"/>
        <v>#DIV/0!</v>
      </c>
      <c r="J35">
        <f t="shared" si="3"/>
        <v>0</v>
      </c>
    </row>
    <row r="36" spans="1:10" ht="18" thickTop="1" thickBot="1" x14ac:dyDescent="0.25">
      <c r="A36" s="6">
        <v>7</v>
      </c>
      <c r="B36" s="21">
        <f t="shared" si="7"/>
        <v>0</v>
      </c>
      <c r="C36" s="7"/>
      <c r="D36" s="2"/>
      <c r="E36" s="3">
        <f t="shared" si="5"/>
        <v>0</v>
      </c>
      <c r="F36" s="2"/>
      <c r="G36" s="2"/>
      <c r="H36" s="8" t="e">
        <f t="shared" si="1"/>
        <v>#DIV/0!</v>
      </c>
      <c r="I36" s="3" t="e">
        <f t="shared" si="6"/>
        <v>#DIV/0!</v>
      </c>
      <c r="J36">
        <f t="shared" si="3"/>
        <v>0</v>
      </c>
    </row>
    <row r="37" spans="1:10" ht="18" thickTop="1" thickBot="1" x14ac:dyDescent="0.25">
      <c r="A37" s="6">
        <v>8</v>
      </c>
      <c r="B37" s="21">
        <f t="shared" si="7"/>
        <v>0</v>
      </c>
      <c r="C37" s="7"/>
      <c r="D37" s="2"/>
      <c r="E37" s="3">
        <f t="shared" si="5"/>
        <v>0</v>
      </c>
      <c r="F37" s="2"/>
      <c r="G37" s="2"/>
      <c r="H37" s="8" t="e">
        <f t="shared" si="1"/>
        <v>#DIV/0!</v>
      </c>
      <c r="I37" s="3" t="e">
        <f t="shared" si="6"/>
        <v>#DIV/0!</v>
      </c>
      <c r="J37">
        <f t="shared" si="3"/>
        <v>0</v>
      </c>
    </row>
    <row r="38" spans="1:10" ht="18" thickTop="1" thickBot="1" x14ac:dyDescent="0.25">
      <c r="A38" s="6">
        <v>9</v>
      </c>
      <c r="B38" s="21">
        <f t="shared" si="7"/>
        <v>0</v>
      </c>
      <c r="C38" s="10"/>
      <c r="D38" s="2"/>
      <c r="E38" s="3">
        <f t="shared" si="5"/>
        <v>0</v>
      </c>
      <c r="F38" s="2"/>
      <c r="G38" s="2"/>
      <c r="H38" s="8" t="e">
        <f t="shared" si="1"/>
        <v>#DIV/0!</v>
      </c>
      <c r="I38" s="3" t="e">
        <f t="shared" si="6"/>
        <v>#DIV/0!</v>
      </c>
      <c r="J38">
        <f t="shared" si="3"/>
        <v>0</v>
      </c>
    </row>
    <row r="39" spans="1:10" ht="18" thickTop="1" thickBot="1" x14ac:dyDescent="0.25">
      <c r="A39" s="6">
        <v>10</v>
      </c>
      <c r="B39" s="21">
        <f t="shared" si="7"/>
        <v>0</v>
      </c>
      <c r="C39" s="10"/>
      <c r="D39" s="2"/>
      <c r="E39" s="3">
        <f t="shared" si="5"/>
        <v>0</v>
      </c>
      <c r="F39" s="2"/>
      <c r="G39" s="2"/>
      <c r="H39" s="8" t="e">
        <f t="shared" si="1"/>
        <v>#DIV/0!</v>
      </c>
      <c r="I39" s="3" t="e">
        <f t="shared" si="6"/>
        <v>#DIV/0!</v>
      </c>
      <c r="J39">
        <f t="shared" si="3"/>
        <v>0</v>
      </c>
    </row>
    <row r="40" spans="1:10" ht="18" thickTop="1" thickBot="1" x14ac:dyDescent="0.25">
      <c r="A40" s="6">
        <v>11</v>
      </c>
      <c r="B40" s="21">
        <f t="shared" si="7"/>
        <v>0</v>
      </c>
      <c r="C40" s="10"/>
      <c r="D40" s="2"/>
      <c r="E40" s="3">
        <f t="shared" ref="E40:E45" si="8">((D40/(60*3.7*10^4))*0.5^((B40-C40)*24*60/E$2))/$E$4</f>
        <v>0</v>
      </c>
      <c r="F40" s="2"/>
      <c r="G40" s="2"/>
      <c r="H40" s="8" t="e">
        <f t="shared" si="1"/>
        <v>#DIV/0!</v>
      </c>
      <c r="I40" s="3" t="e">
        <f t="shared" si="6"/>
        <v>#DIV/0!</v>
      </c>
      <c r="J40">
        <f t="shared" si="3"/>
        <v>0</v>
      </c>
    </row>
    <row r="41" spans="1:10" ht="18" thickTop="1" thickBot="1" x14ac:dyDescent="0.25">
      <c r="A41" s="6">
        <v>12</v>
      </c>
      <c r="B41" s="21">
        <f t="shared" si="7"/>
        <v>0</v>
      </c>
      <c r="C41" s="10"/>
      <c r="D41" s="2"/>
      <c r="E41" s="3">
        <f t="shared" si="8"/>
        <v>0</v>
      </c>
      <c r="F41" s="2"/>
      <c r="G41" s="2"/>
      <c r="H41" s="8" t="e">
        <f t="shared" si="1"/>
        <v>#DIV/0!</v>
      </c>
      <c r="I41" s="3" t="e">
        <f t="shared" si="6"/>
        <v>#DIV/0!</v>
      </c>
      <c r="J41">
        <f t="shared" si="3"/>
        <v>0</v>
      </c>
    </row>
    <row r="42" spans="1:10" ht="18" thickTop="1" thickBot="1" x14ac:dyDescent="0.25">
      <c r="A42" s="6">
        <v>13</v>
      </c>
      <c r="B42" s="21">
        <f t="shared" si="7"/>
        <v>0</v>
      </c>
      <c r="C42" s="10"/>
      <c r="D42" s="2"/>
      <c r="E42" s="3">
        <f t="shared" si="8"/>
        <v>0</v>
      </c>
      <c r="F42" s="2"/>
      <c r="G42" s="2"/>
      <c r="H42" s="8" t="e">
        <f t="shared" si="1"/>
        <v>#DIV/0!</v>
      </c>
      <c r="I42" s="3" t="e">
        <f t="shared" si="6"/>
        <v>#DIV/0!</v>
      </c>
      <c r="J42">
        <f t="shared" si="3"/>
        <v>0</v>
      </c>
    </row>
    <row r="43" spans="1:10" ht="18" thickTop="1" thickBot="1" x14ac:dyDescent="0.25">
      <c r="A43" s="6">
        <v>14</v>
      </c>
      <c r="B43" s="21">
        <f t="shared" si="7"/>
        <v>0</v>
      </c>
      <c r="C43" s="10"/>
      <c r="D43" s="2"/>
      <c r="E43" s="3">
        <f t="shared" si="8"/>
        <v>0</v>
      </c>
      <c r="F43" s="2"/>
      <c r="G43" s="2"/>
      <c r="H43" s="8" t="e">
        <f t="shared" si="1"/>
        <v>#DIV/0!</v>
      </c>
      <c r="I43" s="3" t="e">
        <f t="shared" si="6"/>
        <v>#DIV/0!</v>
      </c>
      <c r="J43">
        <f t="shared" si="3"/>
        <v>0</v>
      </c>
    </row>
    <row r="44" spans="1:10" ht="18" thickTop="1" thickBot="1" x14ac:dyDescent="0.25">
      <c r="A44" s="6">
        <v>15</v>
      </c>
      <c r="B44" s="21">
        <f t="shared" si="7"/>
        <v>0</v>
      </c>
      <c r="C44" s="10"/>
      <c r="D44" s="2"/>
      <c r="E44" s="3">
        <f t="shared" si="8"/>
        <v>0</v>
      </c>
      <c r="F44" s="2"/>
      <c r="G44" s="2"/>
      <c r="H44" s="8" t="e">
        <f t="shared" si="1"/>
        <v>#DIV/0!</v>
      </c>
      <c r="I44" s="3" t="e">
        <f t="shared" si="6"/>
        <v>#DIV/0!</v>
      </c>
      <c r="J44">
        <f t="shared" si="3"/>
        <v>0</v>
      </c>
    </row>
    <row r="45" spans="1:10" ht="18" thickTop="1" thickBot="1" x14ac:dyDescent="0.25">
      <c r="A45" s="6">
        <v>16</v>
      </c>
      <c r="B45" s="21">
        <f t="shared" si="7"/>
        <v>0</v>
      </c>
      <c r="C45" s="10"/>
      <c r="D45" s="2"/>
      <c r="E45" s="3">
        <f t="shared" si="8"/>
        <v>0</v>
      </c>
      <c r="F45" s="2"/>
      <c r="G45" s="2"/>
      <c r="H45" s="8" t="e">
        <f t="shared" si="1"/>
        <v>#DIV/0!</v>
      </c>
      <c r="I45" s="3" t="e">
        <f t="shared" si="6"/>
        <v>#DIV/0!</v>
      </c>
      <c r="J45">
        <f t="shared" si="3"/>
        <v>0</v>
      </c>
    </row>
    <row r="46" spans="1:10" ht="16" thickTop="1" x14ac:dyDescent="0.2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39"/>
  <sheetViews>
    <sheetView topLeftCell="A7" workbookViewId="0">
      <selection activeCell="H6" sqref="H6:H21"/>
    </sheetView>
  </sheetViews>
  <sheetFormatPr baseColWidth="10" defaultColWidth="8.83203125" defaultRowHeight="15" x14ac:dyDescent="0.2"/>
  <cols>
    <col min="1" max="1" width="13.5" customWidth="1"/>
    <col min="2" max="2" width="12.83203125" customWidth="1"/>
    <col min="3" max="3" width="14.5" customWidth="1"/>
    <col min="4" max="4" width="12.1640625" customWidth="1"/>
    <col min="5" max="5" width="17.1640625" customWidth="1"/>
    <col min="6" max="6" width="13.1640625" customWidth="1"/>
    <col min="8" max="8" width="22.83203125" customWidth="1"/>
  </cols>
  <sheetData>
    <row r="1" spans="1:8" ht="17" thickBot="1" x14ac:dyDescent="0.25">
      <c r="A1" s="4" t="s">
        <v>4</v>
      </c>
      <c r="B1" s="21">
        <f>'Input Function Calculation'!B4</f>
        <v>0</v>
      </c>
    </row>
    <row r="2" spans="1:8" ht="16" thickTop="1" x14ac:dyDescent="0.2"/>
    <row r="4" spans="1:8" x14ac:dyDescent="0.2">
      <c r="H4" s="6" t="s">
        <v>30</v>
      </c>
    </row>
    <row r="5" spans="1:8" x14ac:dyDescent="0.2">
      <c r="A5" s="6" t="s">
        <v>8</v>
      </c>
      <c r="B5" s="6" t="s">
        <v>10</v>
      </c>
      <c r="C5" t="s">
        <v>27</v>
      </c>
      <c r="D5" s="6" t="s">
        <v>13</v>
      </c>
      <c r="E5" s="6" t="s">
        <v>9</v>
      </c>
      <c r="F5" s="6" t="s">
        <v>28</v>
      </c>
      <c r="H5" s="6" t="s">
        <v>29</v>
      </c>
    </row>
    <row r="6" spans="1:8" ht="17" thickBot="1" x14ac:dyDescent="0.25">
      <c r="A6" s="6">
        <v>1</v>
      </c>
      <c r="B6" s="21">
        <f>'Input Function Calculation'!B13</f>
        <v>0</v>
      </c>
      <c r="C6" s="12">
        <f>B6-B$1</f>
        <v>0</v>
      </c>
      <c r="D6" s="20">
        <f>'Input Function Calculation'!F13</f>
        <v>0</v>
      </c>
      <c r="E6" s="20">
        <f>'Input Function Calculation'!G13</f>
        <v>0</v>
      </c>
      <c r="F6" s="3">
        <f>E6-D6</f>
        <v>0</v>
      </c>
      <c r="H6" s="22" t="e">
        <f t="shared" ref="H6:H21" si="0">(F6-F23)/F6</f>
        <v>#DIV/0!</v>
      </c>
    </row>
    <row r="7" spans="1:8" ht="18" thickTop="1" thickBot="1" x14ac:dyDescent="0.25">
      <c r="A7" s="6">
        <v>2</v>
      </c>
      <c r="B7" s="21">
        <f>'Input Function Calculation'!B14</f>
        <v>0</v>
      </c>
      <c r="C7" s="12">
        <f t="shared" ref="C7:C38" si="1">B7-B$1</f>
        <v>0</v>
      </c>
      <c r="D7" s="20">
        <f>'Input Function Calculation'!F14</f>
        <v>0</v>
      </c>
      <c r="E7" s="20">
        <f>'Input Function Calculation'!G14</f>
        <v>0</v>
      </c>
      <c r="F7" s="3">
        <f t="shared" ref="F7:F38" si="2">E7-D7</f>
        <v>0</v>
      </c>
      <c r="H7" s="22" t="e">
        <f t="shared" si="0"/>
        <v>#DIV/0!</v>
      </c>
    </row>
    <row r="8" spans="1:8" ht="18" thickTop="1" thickBot="1" x14ac:dyDescent="0.25">
      <c r="A8" s="6">
        <v>3</v>
      </c>
      <c r="B8" s="21">
        <f>'Input Function Calculation'!B15</f>
        <v>0</v>
      </c>
      <c r="C8" s="12">
        <f t="shared" si="1"/>
        <v>0</v>
      </c>
      <c r="D8" s="20">
        <f>'Input Function Calculation'!F15</f>
        <v>0</v>
      </c>
      <c r="E8" s="20">
        <f>'Input Function Calculation'!G15</f>
        <v>0</v>
      </c>
      <c r="F8" s="3">
        <f t="shared" si="2"/>
        <v>0</v>
      </c>
      <c r="H8" s="22" t="e">
        <f t="shared" si="0"/>
        <v>#DIV/0!</v>
      </c>
    </row>
    <row r="9" spans="1:8" ht="18" thickTop="1" thickBot="1" x14ac:dyDescent="0.25">
      <c r="A9" s="6">
        <v>4</v>
      </c>
      <c r="B9" s="21">
        <f>'Input Function Calculation'!B16</f>
        <v>0</v>
      </c>
      <c r="C9" s="12">
        <f t="shared" si="1"/>
        <v>0</v>
      </c>
      <c r="D9" s="20">
        <f>'Input Function Calculation'!F16</f>
        <v>0</v>
      </c>
      <c r="E9" s="20">
        <f>'Input Function Calculation'!G16</f>
        <v>0</v>
      </c>
      <c r="F9" s="3">
        <f t="shared" si="2"/>
        <v>0</v>
      </c>
      <c r="H9" s="22" t="e">
        <f t="shared" si="0"/>
        <v>#DIV/0!</v>
      </c>
    </row>
    <row r="10" spans="1:8" ht="18" thickTop="1" thickBot="1" x14ac:dyDescent="0.25">
      <c r="A10" s="6">
        <v>5</v>
      </c>
      <c r="B10" s="21">
        <f>'Input Function Calculation'!B17</f>
        <v>0</v>
      </c>
      <c r="C10" s="12">
        <f t="shared" si="1"/>
        <v>0</v>
      </c>
      <c r="D10" s="20">
        <f>'Input Function Calculation'!F17</f>
        <v>0</v>
      </c>
      <c r="E10" s="20">
        <f>'Input Function Calculation'!G17</f>
        <v>0</v>
      </c>
      <c r="F10" s="3">
        <f t="shared" si="2"/>
        <v>0</v>
      </c>
      <c r="H10" s="22" t="e">
        <f t="shared" si="0"/>
        <v>#DIV/0!</v>
      </c>
    </row>
    <row r="11" spans="1:8" ht="18" thickTop="1" thickBot="1" x14ac:dyDescent="0.25">
      <c r="A11" s="6">
        <v>6</v>
      </c>
      <c r="B11" s="21">
        <f>'Input Function Calculation'!B18</f>
        <v>0</v>
      </c>
      <c r="C11" s="12">
        <f t="shared" si="1"/>
        <v>0</v>
      </c>
      <c r="D11" s="20">
        <f>'Input Function Calculation'!F18</f>
        <v>0</v>
      </c>
      <c r="E11" s="20">
        <f>'Input Function Calculation'!G18</f>
        <v>0</v>
      </c>
      <c r="F11" s="3">
        <f t="shared" si="2"/>
        <v>0</v>
      </c>
      <c r="H11" s="22" t="e">
        <f t="shared" si="0"/>
        <v>#DIV/0!</v>
      </c>
    </row>
    <row r="12" spans="1:8" ht="18" thickTop="1" thickBot="1" x14ac:dyDescent="0.25">
      <c r="A12" s="6">
        <v>7</v>
      </c>
      <c r="B12" s="21">
        <f>'Input Function Calculation'!B19</f>
        <v>0</v>
      </c>
      <c r="C12" s="12">
        <f t="shared" si="1"/>
        <v>0</v>
      </c>
      <c r="D12" s="20">
        <f>'Input Function Calculation'!F19</f>
        <v>0</v>
      </c>
      <c r="E12" s="20">
        <f>'Input Function Calculation'!G19</f>
        <v>0</v>
      </c>
      <c r="F12" s="3">
        <f t="shared" si="2"/>
        <v>0</v>
      </c>
      <c r="H12" s="22" t="e">
        <f t="shared" si="0"/>
        <v>#DIV/0!</v>
      </c>
    </row>
    <row r="13" spans="1:8" ht="18" thickTop="1" thickBot="1" x14ac:dyDescent="0.25">
      <c r="A13" s="6">
        <v>8</v>
      </c>
      <c r="B13" s="21">
        <f>'Input Function Calculation'!B20</f>
        <v>0</v>
      </c>
      <c r="C13" s="12">
        <f t="shared" si="1"/>
        <v>0</v>
      </c>
      <c r="D13" s="20">
        <f>'Input Function Calculation'!F20</f>
        <v>0</v>
      </c>
      <c r="E13" s="20">
        <f>'Input Function Calculation'!G20</f>
        <v>0</v>
      </c>
      <c r="F13" s="3">
        <f t="shared" si="2"/>
        <v>0</v>
      </c>
      <c r="H13" s="22" t="e">
        <f t="shared" si="0"/>
        <v>#DIV/0!</v>
      </c>
    </row>
    <row r="14" spans="1:8" ht="18" thickTop="1" thickBot="1" x14ac:dyDescent="0.25">
      <c r="A14" s="6">
        <v>9</v>
      </c>
      <c r="B14" s="21">
        <f>'Input Function Calculation'!B21</f>
        <v>0</v>
      </c>
      <c r="C14" s="12">
        <f t="shared" si="1"/>
        <v>0</v>
      </c>
      <c r="D14" s="20">
        <f>'Input Function Calculation'!F21</f>
        <v>0</v>
      </c>
      <c r="E14" s="20">
        <f>'Input Function Calculation'!G21</f>
        <v>0</v>
      </c>
      <c r="F14" s="3">
        <f t="shared" si="2"/>
        <v>0</v>
      </c>
      <c r="H14" s="22" t="e">
        <f t="shared" si="0"/>
        <v>#DIV/0!</v>
      </c>
    </row>
    <row r="15" spans="1:8" ht="18" thickTop="1" thickBot="1" x14ac:dyDescent="0.25">
      <c r="A15" s="6">
        <v>10</v>
      </c>
      <c r="B15" s="21">
        <f>'Input Function Calculation'!B22</f>
        <v>0</v>
      </c>
      <c r="C15" s="12">
        <f t="shared" si="1"/>
        <v>0</v>
      </c>
      <c r="D15" s="20">
        <f>'Input Function Calculation'!F22</f>
        <v>0</v>
      </c>
      <c r="E15" s="20">
        <f>'Input Function Calculation'!G22</f>
        <v>0</v>
      </c>
      <c r="F15" s="3">
        <f t="shared" si="2"/>
        <v>0</v>
      </c>
      <c r="H15" s="22" t="e">
        <f t="shared" si="0"/>
        <v>#DIV/0!</v>
      </c>
    </row>
    <row r="16" spans="1:8" ht="18" thickTop="1" thickBot="1" x14ac:dyDescent="0.25">
      <c r="A16" s="6">
        <v>11</v>
      </c>
      <c r="B16" s="21">
        <f>'Input Function Calculation'!B23</f>
        <v>0</v>
      </c>
      <c r="C16" s="12">
        <f t="shared" si="1"/>
        <v>0</v>
      </c>
      <c r="D16" s="20">
        <f>'Input Function Calculation'!F23</f>
        <v>0</v>
      </c>
      <c r="E16" s="20">
        <f>'Input Function Calculation'!G23</f>
        <v>0</v>
      </c>
      <c r="F16" s="3">
        <f t="shared" si="2"/>
        <v>0</v>
      </c>
      <c r="H16" s="22" t="e">
        <f t="shared" si="0"/>
        <v>#DIV/0!</v>
      </c>
    </row>
    <row r="17" spans="1:8" ht="18" thickTop="1" thickBot="1" x14ac:dyDescent="0.25">
      <c r="A17" s="6">
        <v>12</v>
      </c>
      <c r="B17" s="21">
        <f>'Input Function Calculation'!B24</f>
        <v>0</v>
      </c>
      <c r="C17" s="12">
        <f t="shared" si="1"/>
        <v>0</v>
      </c>
      <c r="D17" s="20">
        <f>'Input Function Calculation'!F24</f>
        <v>0</v>
      </c>
      <c r="E17" s="20">
        <f>'Input Function Calculation'!G24</f>
        <v>0</v>
      </c>
      <c r="F17" s="3">
        <f t="shared" si="2"/>
        <v>0</v>
      </c>
      <c r="H17" s="22" t="e">
        <f t="shared" si="0"/>
        <v>#DIV/0!</v>
      </c>
    </row>
    <row r="18" spans="1:8" ht="18" thickTop="1" thickBot="1" x14ac:dyDescent="0.25">
      <c r="A18" s="6">
        <v>13</v>
      </c>
      <c r="B18" s="21">
        <f>'Input Function Calculation'!B25</f>
        <v>0</v>
      </c>
      <c r="C18" s="12">
        <f t="shared" si="1"/>
        <v>0</v>
      </c>
      <c r="D18" s="20">
        <f>'Input Function Calculation'!F25</f>
        <v>0</v>
      </c>
      <c r="E18" s="20">
        <f>'Input Function Calculation'!G25</f>
        <v>0</v>
      </c>
      <c r="F18" s="3">
        <f t="shared" si="2"/>
        <v>0</v>
      </c>
      <c r="H18" s="22" t="e">
        <f t="shared" si="0"/>
        <v>#DIV/0!</v>
      </c>
    </row>
    <row r="19" spans="1:8" ht="18" thickTop="1" thickBot="1" x14ac:dyDescent="0.25">
      <c r="A19" s="6">
        <v>14</v>
      </c>
      <c r="B19" s="21">
        <f>'Input Function Calculation'!B26</f>
        <v>0</v>
      </c>
      <c r="C19" s="12">
        <f t="shared" si="1"/>
        <v>0</v>
      </c>
      <c r="D19" s="20">
        <f>'Input Function Calculation'!F26</f>
        <v>0</v>
      </c>
      <c r="E19" s="20">
        <f>'Input Function Calculation'!G26</f>
        <v>0</v>
      </c>
      <c r="F19" s="3">
        <f t="shared" si="2"/>
        <v>0</v>
      </c>
      <c r="H19" s="22" t="e">
        <f t="shared" si="0"/>
        <v>#DIV/0!</v>
      </c>
    </row>
    <row r="20" spans="1:8" ht="18" thickTop="1" thickBot="1" x14ac:dyDescent="0.25">
      <c r="A20" s="6">
        <v>15</v>
      </c>
      <c r="B20" s="21">
        <f>'Input Function Calculation'!B27</f>
        <v>0</v>
      </c>
      <c r="C20" s="12">
        <f t="shared" si="1"/>
        <v>0</v>
      </c>
      <c r="D20" s="20">
        <f>'Input Function Calculation'!F27</f>
        <v>0</v>
      </c>
      <c r="E20" s="20">
        <f>'Input Function Calculation'!G27</f>
        <v>0</v>
      </c>
      <c r="F20" s="3">
        <f t="shared" si="2"/>
        <v>0</v>
      </c>
      <c r="H20" s="22" t="e">
        <f t="shared" si="0"/>
        <v>#DIV/0!</v>
      </c>
    </row>
    <row r="21" spans="1:8" ht="18" thickTop="1" thickBot="1" x14ac:dyDescent="0.25">
      <c r="A21" s="6">
        <v>16</v>
      </c>
      <c r="B21" s="21">
        <f>'Input Function Calculation'!B28</f>
        <v>0</v>
      </c>
      <c r="C21" s="12">
        <f t="shared" si="1"/>
        <v>0</v>
      </c>
      <c r="D21" s="20">
        <f>'Input Function Calculation'!F28</f>
        <v>0</v>
      </c>
      <c r="E21" s="20">
        <f>'Input Function Calculation'!G28</f>
        <v>0</v>
      </c>
      <c r="F21" s="3">
        <f t="shared" si="2"/>
        <v>0</v>
      </c>
      <c r="H21" s="22" t="e">
        <f t="shared" si="0"/>
        <v>#DIV/0!</v>
      </c>
    </row>
    <row r="22" spans="1:8" ht="16" thickTop="1" x14ac:dyDescent="0.2">
      <c r="A22" s="6"/>
      <c r="B22" s="7"/>
      <c r="C22" s="12">
        <f t="shared" si="1"/>
        <v>0</v>
      </c>
      <c r="D22" s="2"/>
      <c r="E22" s="2"/>
      <c r="F22" s="3">
        <f t="shared" si="2"/>
        <v>0</v>
      </c>
    </row>
    <row r="23" spans="1:8" ht="17" thickBot="1" x14ac:dyDescent="0.25">
      <c r="A23" s="6">
        <v>1</v>
      </c>
      <c r="B23" s="21">
        <f>'Input Function Calculation'!B13</f>
        <v>0</v>
      </c>
      <c r="C23" s="12">
        <f t="shared" si="1"/>
        <v>0</v>
      </c>
      <c r="D23" s="20">
        <f>'Input Function Calculation'!F30</f>
        <v>0</v>
      </c>
      <c r="E23" s="20">
        <f>'Input Function Calculation'!G30</f>
        <v>0</v>
      </c>
      <c r="F23" s="3">
        <f t="shared" si="2"/>
        <v>0</v>
      </c>
    </row>
    <row r="24" spans="1:8" ht="18" thickTop="1" thickBot="1" x14ac:dyDescent="0.25">
      <c r="A24" s="6">
        <v>2</v>
      </c>
      <c r="B24" s="21">
        <f>'Input Function Calculation'!B14</f>
        <v>0</v>
      </c>
      <c r="C24" s="12">
        <f t="shared" si="1"/>
        <v>0</v>
      </c>
      <c r="D24" s="20">
        <f>'Input Function Calculation'!F31</f>
        <v>0</v>
      </c>
      <c r="E24" s="20">
        <f>'Input Function Calculation'!G31</f>
        <v>0</v>
      </c>
      <c r="F24" s="3">
        <f t="shared" si="2"/>
        <v>0</v>
      </c>
    </row>
    <row r="25" spans="1:8" ht="18" thickTop="1" thickBot="1" x14ac:dyDescent="0.25">
      <c r="A25" s="6">
        <v>3</v>
      </c>
      <c r="B25" s="21">
        <f>'Input Function Calculation'!B15</f>
        <v>0</v>
      </c>
      <c r="C25" s="12">
        <f t="shared" si="1"/>
        <v>0</v>
      </c>
      <c r="D25" s="20">
        <f>'Input Function Calculation'!F32</f>
        <v>0</v>
      </c>
      <c r="E25" s="20">
        <f>'Input Function Calculation'!G32</f>
        <v>0</v>
      </c>
      <c r="F25" s="3">
        <f t="shared" si="2"/>
        <v>0</v>
      </c>
    </row>
    <row r="26" spans="1:8" ht="18" thickTop="1" thickBot="1" x14ac:dyDescent="0.25">
      <c r="A26" s="6">
        <v>4</v>
      </c>
      <c r="B26" s="21">
        <f>'Input Function Calculation'!B16</f>
        <v>0</v>
      </c>
      <c r="C26" s="12">
        <f t="shared" si="1"/>
        <v>0</v>
      </c>
      <c r="D26" s="20">
        <f>'Input Function Calculation'!F33</f>
        <v>0</v>
      </c>
      <c r="E26" s="20">
        <f>'Input Function Calculation'!G33</f>
        <v>0</v>
      </c>
      <c r="F26" s="3">
        <f t="shared" si="2"/>
        <v>0</v>
      </c>
    </row>
    <row r="27" spans="1:8" ht="18" thickTop="1" thickBot="1" x14ac:dyDescent="0.25">
      <c r="A27" s="6">
        <v>5</v>
      </c>
      <c r="B27" s="21">
        <f>'Input Function Calculation'!B17</f>
        <v>0</v>
      </c>
      <c r="C27" s="12">
        <f t="shared" si="1"/>
        <v>0</v>
      </c>
      <c r="D27" s="20">
        <f>'Input Function Calculation'!F34</f>
        <v>0</v>
      </c>
      <c r="E27" s="20">
        <f>'Input Function Calculation'!G34</f>
        <v>0</v>
      </c>
      <c r="F27" s="3">
        <f t="shared" si="2"/>
        <v>0</v>
      </c>
    </row>
    <row r="28" spans="1:8" ht="18" thickTop="1" thickBot="1" x14ac:dyDescent="0.25">
      <c r="A28" s="6">
        <v>6</v>
      </c>
      <c r="B28" s="21">
        <f>'Input Function Calculation'!B18</f>
        <v>0</v>
      </c>
      <c r="C28" s="12">
        <f t="shared" si="1"/>
        <v>0</v>
      </c>
      <c r="D28" s="20">
        <f>'Input Function Calculation'!F35</f>
        <v>0</v>
      </c>
      <c r="E28" s="20">
        <f>'Input Function Calculation'!G35</f>
        <v>0</v>
      </c>
      <c r="F28" s="3">
        <f t="shared" si="2"/>
        <v>0</v>
      </c>
    </row>
    <row r="29" spans="1:8" ht="18" thickTop="1" thickBot="1" x14ac:dyDescent="0.25">
      <c r="A29" s="6">
        <v>7</v>
      </c>
      <c r="B29" s="21">
        <f>'Input Function Calculation'!B19</f>
        <v>0</v>
      </c>
      <c r="C29" s="12">
        <f t="shared" si="1"/>
        <v>0</v>
      </c>
      <c r="D29" s="20">
        <f>'Input Function Calculation'!F36</f>
        <v>0</v>
      </c>
      <c r="E29" s="20">
        <f>'Input Function Calculation'!G36</f>
        <v>0</v>
      </c>
      <c r="F29" s="3">
        <f t="shared" si="2"/>
        <v>0</v>
      </c>
    </row>
    <row r="30" spans="1:8" ht="18" thickTop="1" thickBot="1" x14ac:dyDescent="0.25">
      <c r="A30" s="6">
        <v>8</v>
      </c>
      <c r="B30" s="21">
        <f>'Input Function Calculation'!B20</f>
        <v>0</v>
      </c>
      <c r="C30" s="12">
        <f t="shared" si="1"/>
        <v>0</v>
      </c>
      <c r="D30" s="20">
        <f>'Input Function Calculation'!F37</f>
        <v>0</v>
      </c>
      <c r="E30" s="20">
        <f>'Input Function Calculation'!G37</f>
        <v>0</v>
      </c>
      <c r="F30" s="3">
        <f t="shared" si="2"/>
        <v>0</v>
      </c>
    </row>
    <row r="31" spans="1:8" ht="18" thickTop="1" thickBot="1" x14ac:dyDescent="0.25">
      <c r="A31" s="6">
        <v>9</v>
      </c>
      <c r="B31" s="21">
        <f>'Input Function Calculation'!B21</f>
        <v>0</v>
      </c>
      <c r="C31" s="12">
        <f t="shared" si="1"/>
        <v>0</v>
      </c>
      <c r="D31" s="20">
        <f>'Input Function Calculation'!F38</f>
        <v>0</v>
      </c>
      <c r="E31" s="20">
        <f>'Input Function Calculation'!G38</f>
        <v>0</v>
      </c>
      <c r="F31" s="3">
        <f t="shared" si="2"/>
        <v>0</v>
      </c>
    </row>
    <row r="32" spans="1:8" ht="18" thickTop="1" thickBot="1" x14ac:dyDescent="0.25">
      <c r="A32" s="6">
        <v>10</v>
      </c>
      <c r="B32" s="21">
        <f>'Input Function Calculation'!B22</f>
        <v>0</v>
      </c>
      <c r="C32" s="12">
        <f t="shared" si="1"/>
        <v>0</v>
      </c>
      <c r="D32" s="20">
        <f>'Input Function Calculation'!F39</f>
        <v>0</v>
      </c>
      <c r="E32" s="20">
        <f>'Input Function Calculation'!G39</f>
        <v>0</v>
      </c>
      <c r="F32" s="3">
        <f t="shared" si="2"/>
        <v>0</v>
      </c>
    </row>
    <row r="33" spans="1:6" ht="18" thickTop="1" thickBot="1" x14ac:dyDescent="0.25">
      <c r="A33" s="6">
        <v>11</v>
      </c>
      <c r="B33" s="21">
        <f>'Input Function Calculation'!B23</f>
        <v>0</v>
      </c>
      <c r="C33" s="12">
        <f t="shared" si="1"/>
        <v>0</v>
      </c>
      <c r="D33" s="20">
        <f>'Input Function Calculation'!F40</f>
        <v>0</v>
      </c>
      <c r="E33" s="20">
        <f>'Input Function Calculation'!G40</f>
        <v>0</v>
      </c>
      <c r="F33" s="3">
        <f t="shared" si="2"/>
        <v>0</v>
      </c>
    </row>
    <row r="34" spans="1:6" ht="18" thickTop="1" thickBot="1" x14ac:dyDescent="0.25">
      <c r="A34" s="6">
        <v>12</v>
      </c>
      <c r="B34" s="21">
        <f>'Input Function Calculation'!B24</f>
        <v>0</v>
      </c>
      <c r="C34" s="12">
        <f t="shared" si="1"/>
        <v>0</v>
      </c>
      <c r="D34" s="20">
        <f>'Input Function Calculation'!F41</f>
        <v>0</v>
      </c>
      <c r="E34" s="20">
        <f>'Input Function Calculation'!G41</f>
        <v>0</v>
      </c>
      <c r="F34" s="3">
        <f t="shared" si="2"/>
        <v>0</v>
      </c>
    </row>
    <row r="35" spans="1:6" ht="18" thickTop="1" thickBot="1" x14ac:dyDescent="0.25">
      <c r="A35" s="6">
        <v>13</v>
      </c>
      <c r="B35" s="21">
        <f>'Input Function Calculation'!B25</f>
        <v>0</v>
      </c>
      <c r="C35" s="12">
        <f t="shared" si="1"/>
        <v>0</v>
      </c>
      <c r="D35" s="20">
        <f>'Input Function Calculation'!F42</f>
        <v>0</v>
      </c>
      <c r="E35" s="20">
        <f>'Input Function Calculation'!G42</f>
        <v>0</v>
      </c>
      <c r="F35" s="3">
        <f t="shared" si="2"/>
        <v>0</v>
      </c>
    </row>
    <row r="36" spans="1:6" ht="18" thickTop="1" thickBot="1" x14ac:dyDescent="0.25">
      <c r="A36" s="6">
        <v>14</v>
      </c>
      <c r="B36" s="21">
        <f>'Input Function Calculation'!B26</f>
        <v>0</v>
      </c>
      <c r="C36" s="12">
        <f t="shared" si="1"/>
        <v>0</v>
      </c>
      <c r="D36" s="20">
        <f>'Input Function Calculation'!F43</f>
        <v>0</v>
      </c>
      <c r="E36" s="20">
        <f>'Input Function Calculation'!G43</f>
        <v>0</v>
      </c>
      <c r="F36" s="3">
        <f t="shared" si="2"/>
        <v>0</v>
      </c>
    </row>
    <row r="37" spans="1:6" ht="18" thickTop="1" thickBot="1" x14ac:dyDescent="0.25">
      <c r="A37" s="6">
        <v>15</v>
      </c>
      <c r="B37" s="21">
        <f>'Input Function Calculation'!B27</f>
        <v>0</v>
      </c>
      <c r="C37" s="12">
        <f t="shared" si="1"/>
        <v>0</v>
      </c>
      <c r="D37" s="20">
        <f>'Input Function Calculation'!F44</f>
        <v>0</v>
      </c>
      <c r="E37" s="20">
        <f>'Input Function Calculation'!G44</f>
        <v>0</v>
      </c>
      <c r="F37" s="3">
        <f t="shared" si="2"/>
        <v>0</v>
      </c>
    </row>
    <row r="38" spans="1:6" ht="18" thickTop="1" thickBot="1" x14ac:dyDescent="0.25">
      <c r="A38" s="6">
        <v>16</v>
      </c>
      <c r="B38" s="21">
        <f>'Input Function Calculation'!B28</f>
        <v>0</v>
      </c>
      <c r="C38" s="12">
        <f t="shared" si="1"/>
        <v>0</v>
      </c>
      <c r="D38" s="20">
        <f>'Input Function Calculation'!F45</f>
        <v>0</v>
      </c>
      <c r="E38" s="20">
        <f>'Input Function Calculation'!G45</f>
        <v>0</v>
      </c>
      <c r="F38" s="3">
        <f t="shared" si="2"/>
        <v>0</v>
      </c>
    </row>
    <row r="39" spans="1:6" ht="16" thickTop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59"/>
  <sheetViews>
    <sheetView workbookViewId="0">
      <selection activeCell="C60" sqref="C60"/>
    </sheetView>
  </sheetViews>
  <sheetFormatPr baseColWidth="10" defaultRowHeight="15" x14ac:dyDescent="0.2"/>
  <cols>
    <col min="1" max="1" width="14.6640625" bestFit="1" customWidth="1"/>
    <col min="2" max="2" width="17.6640625" bestFit="1" customWidth="1"/>
    <col min="3" max="3" width="17.83203125" bestFit="1" customWidth="1"/>
    <col min="5" max="5" width="16" bestFit="1" customWidth="1"/>
  </cols>
  <sheetData>
    <row r="1" spans="1:5" ht="21" thickBot="1" x14ac:dyDescent="0.3">
      <c r="A1" s="14" t="s">
        <v>31</v>
      </c>
      <c r="B1" s="14" t="s">
        <v>32</v>
      </c>
      <c r="C1" s="14" t="s">
        <v>33</v>
      </c>
      <c r="D1" s="23" t="s">
        <v>34</v>
      </c>
      <c r="E1" s="23"/>
    </row>
    <row r="2" spans="1:5" ht="19" thickTop="1" thickBot="1" x14ac:dyDescent="0.25">
      <c r="A2" s="19"/>
      <c r="B2" s="16"/>
      <c r="C2" s="17" t="e">
        <f>B2/('Input Function Calculation'!E10*37000)</f>
        <v>#DIV/0!</v>
      </c>
      <c r="D2" s="14" t="s">
        <v>36</v>
      </c>
      <c r="E2" s="14" t="s">
        <v>35</v>
      </c>
    </row>
    <row r="3" spans="1:5" ht="17" thickTop="1" x14ac:dyDescent="0.2">
      <c r="A3" s="19"/>
      <c r="B3" s="16"/>
      <c r="C3" s="17" t="e">
        <f>B3/('Input Function Calculation'!E10*37000)</f>
        <v>#DIV/0!</v>
      </c>
      <c r="D3" s="15" t="e">
        <f>INDEX($A$1:$A$59,MATCH(MAX($B$1:$B$59),$B$1:$B$59,0))</f>
        <v>#N/A</v>
      </c>
      <c r="E3" s="18">
        <f>MAX(B2:B59)</f>
        <v>0</v>
      </c>
    </row>
    <row r="4" spans="1:5" x14ac:dyDescent="0.2">
      <c r="A4" s="19"/>
      <c r="B4" s="16"/>
      <c r="C4" s="17" t="e">
        <f>B4/('Input Function Calculation'!E10*37000)</f>
        <v>#DIV/0!</v>
      </c>
    </row>
    <row r="5" spans="1:5" x14ac:dyDescent="0.2">
      <c r="A5" s="19"/>
      <c r="B5" s="16"/>
      <c r="C5" s="17" t="e">
        <f>B5/('Input Function Calculation'!E10*37000)</f>
        <v>#DIV/0!</v>
      </c>
    </row>
    <row r="6" spans="1:5" x14ac:dyDescent="0.2">
      <c r="A6" s="19"/>
      <c r="B6" s="16"/>
      <c r="C6" s="17" t="e">
        <f>B6/('Input Function Calculation'!E10*37000)</f>
        <v>#DIV/0!</v>
      </c>
    </row>
    <row r="7" spans="1:5" x14ac:dyDescent="0.2">
      <c r="A7" s="19"/>
      <c r="B7" s="16"/>
      <c r="C7" s="17" t="e">
        <f>B7/('Input Function Calculation'!E10*37000)</f>
        <v>#DIV/0!</v>
      </c>
    </row>
    <row r="8" spans="1:5" x14ac:dyDescent="0.2">
      <c r="A8" s="19"/>
      <c r="B8" s="16"/>
      <c r="C8" s="17" t="e">
        <f>B8/('Input Function Calculation'!E10*37000)</f>
        <v>#DIV/0!</v>
      </c>
    </row>
    <row r="9" spans="1:5" x14ac:dyDescent="0.2">
      <c r="A9" s="19"/>
      <c r="B9" s="16"/>
      <c r="C9" s="17" t="e">
        <f>B9/('Input Function Calculation'!E10*37000)</f>
        <v>#DIV/0!</v>
      </c>
    </row>
    <row r="10" spans="1:5" x14ac:dyDescent="0.2">
      <c r="A10" s="19"/>
      <c r="B10" s="16"/>
      <c r="C10" s="17" t="e">
        <f>B10/('Input Function Calculation'!E10*37000)</f>
        <v>#DIV/0!</v>
      </c>
    </row>
    <row r="11" spans="1:5" x14ac:dyDescent="0.2">
      <c r="A11" s="19"/>
      <c r="B11" s="16"/>
      <c r="C11" s="17" t="e">
        <f>B11/('Input Function Calculation'!E10*37000)</f>
        <v>#DIV/0!</v>
      </c>
    </row>
    <row r="12" spans="1:5" x14ac:dyDescent="0.2">
      <c r="A12" s="19"/>
      <c r="B12" s="16"/>
      <c r="C12" s="17" t="e">
        <f>B12/('Input Function Calculation'!E10*37000)</f>
        <v>#DIV/0!</v>
      </c>
    </row>
    <row r="13" spans="1:5" x14ac:dyDescent="0.2">
      <c r="A13" s="19"/>
      <c r="B13" s="16"/>
      <c r="C13" s="17" t="e">
        <f>B13/('Input Function Calculation'!E10*37000)</f>
        <v>#DIV/0!</v>
      </c>
    </row>
    <row r="14" spans="1:5" x14ac:dyDescent="0.2">
      <c r="A14" s="19"/>
      <c r="B14" s="16"/>
      <c r="C14" s="17" t="e">
        <f>B14/('Input Function Calculation'!E10*37000)</f>
        <v>#DIV/0!</v>
      </c>
    </row>
    <row r="15" spans="1:5" x14ac:dyDescent="0.2">
      <c r="A15" s="19"/>
      <c r="B15" s="16"/>
      <c r="C15" s="17" t="e">
        <f>B15/('Input Function Calculation'!E10*37000)</f>
        <v>#DIV/0!</v>
      </c>
    </row>
    <row r="16" spans="1:5" x14ac:dyDescent="0.2">
      <c r="A16" s="19"/>
      <c r="B16" s="16"/>
      <c r="C16" s="17" t="e">
        <f>B16/('Input Function Calculation'!E10*37000)</f>
        <v>#DIV/0!</v>
      </c>
    </row>
    <row r="17" spans="1:3" x14ac:dyDescent="0.2">
      <c r="A17" s="19"/>
      <c r="B17" s="16"/>
      <c r="C17" s="17" t="e">
        <f>B17/('Input Function Calculation'!E10*37000)</f>
        <v>#DIV/0!</v>
      </c>
    </row>
    <row r="18" spans="1:3" x14ac:dyDescent="0.2">
      <c r="A18" s="19"/>
      <c r="B18" s="16"/>
      <c r="C18" s="17" t="e">
        <f>B18/('Input Function Calculation'!E10*37000)</f>
        <v>#DIV/0!</v>
      </c>
    </row>
    <row r="19" spans="1:3" x14ac:dyDescent="0.2">
      <c r="A19" s="19"/>
      <c r="B19" s="16"/>
      <c r="C19" s="17" t="e">
        <f>B19/('Input Function Calculation'!E10*37000)</f>
        <v>#DIV/0!</v>
      </c>
    </row>
    <row r="20" spans="1:3" x14ac:dyDescent="0.2">
      <c r="A20" s="19"/>
      <c r="B20" s="16"/>
      <c r="C20" s="17" t="e">
        <f>B20/('Input Function Calculation'!E10*37000)</f>
        <v>#DIV/0!</v>
      </c>
    </row>
    <row r="21" spans="1:3" x14ac:dyDescent="0.2">
      <c r="A21" s="19"/>
      <c r="B21" s="16"/>
      <c r="C21" s="17" t="e">
        <f>B21/('Input Function Calculation'!E10*37000)</f>
        <v>#DIV/0!</v>
      </c>
    </row>
    <row r="22" spans="1:3" x14ac:dyDescent="0.2">
      <c r="A22" s="19"/>
      <c r="B22" s="16"/>
      <c r="C22" s="17" t="e">
        <f>B22/('Input Function Calculation'!E10*37000)</f>
        <v>#DIV/0!</v>
      </c>
    </row>
    <row r="23" spans="1:3" x14ac:dyDescent="0.2">
      <c r="A23" s="19"/>
      <c r="B23" s="16"/>
      <c r="C23" s="17" t="e">
        <f>B23/('Input Function Calculation'!E10*37000)</f>
        <v>#DIV/0!</v>
      </c>
    </row>
    <row r="24" spans="1:3" x14ac:dyDescent="0.2">
      <c r="A24" s="19"/>
      <c r="B24" s="16"/>
      <c r="C24" s="17" t="e">
        <f>B24/('Input Function Calculation'!E10*37000)</f>
        <v>#DIV/0!</v>
      </c>
    </row>
    <row r="25" spans="1:3" x14ac:dyDescent="0.2">
      <c r="A25" s="19"/>
      <c r="B25" s="16"/>
      <c r="C25" s="17" t="e">
        <f>B25/('Input Function Calculation'!E10*37000)</f>
        <v>#DIV/0!</v>
      </c>
    </row>
    <row r="26" spans="1:3" x14ac:dyDescent="0.2">
      <c r="A26" s="19"/>
      <c r="B26" s="16"/>
      <c r="C26" s="17" t="e">
        <f>B26/('Input Function Calculation'!E10*37000)</f>
        <v>#DIV/0!</v>
      </c>
    </row>
    <row r="27" spans="1:3" x14ac:dyDescent="0.2">
      <c r="A27" s="19"/>
      <c r="B27" s="16"/>
      <c r="C27" s="17" t="e">
        <f>B27/('Input Function Calculation'!E10*37000)</f>
        <v>#DIV/0!</v>
      </c>
    </row>
    <row r="28" spans="1:3" x14ac:dyDescent="0.2">
      <c r="A28" s="19"/>
      <c r="B28" s="16"/>
      <c r="C28" s="17" t="e">
        <f>B28/('Input Function Calculation'!E10*37000)</f>
        <v>#DIV/0!</v>
      </c>
    </row>
    <row r="29" spans="1:3" x14ac:dyDescent="0.2">
      <c r="A29" s="19"/>
      <c r="B29" s="16"/>
      <c r="C29" s="17" t="e">
        <f>B29/('Input Function Calculation'!E10*37000)</f>
        <v>#DIV/0!</v>
      </c>
    </row>
    <row r="30" spans="1:3" x14ac:dyDescent="0.2">
      <c r="A30" s="19"/>
      <c r="B30" s="16"/>
      <c r="C30" s="17" t="e">
        <f>B30/('Input Function Calculation'!E10*37000)</f>
        <v>#DIV/0!</v>
      </c>
    </row>
    <row r="31" spans="1:3" x14ac:dyDescent="0.2">
      <c r="A31" s="19"/>
      <c r="B31" s="16"/>
      <c r="C31" s="17" t="e">
        <f>B31/('Input Function Calculation'!E10*37000)</f>
        <v>#DIV/0!</v>
      </c>
    </row>
    <row r="32" spans="1:3" x14ac:dyDescent="0.2">
      <c r="A32" s="19"/>
      <c r="B32" s="16"/>
      <c r="C32" s="17" t="e">
        <f>B32/('Input Function Calculation'!E10*37000)</f>
        <v>#DIV/0!</v>
      </c>
    </row>
    <row r="33" spans="1:3" x14ac:dyDescent="0.2">
      <c r="A33" s="19"/>
      <c r="B33" s="16"/>
      <c r="C33" s="17" t="e">
        <f>B33/('Input Function Calculation'!E10*37000)</f>
        <v>#DIV/0!</v>
      </c>
    </row>
    <row r="34" spans="1:3" x14ac:dyDescent="0.2">
      <c r="A34" s="19"/>
      <c r="B34" s="16"/>
      <c r="C34" s="17" t="e">
        <f>B34/('Input Function Calculation'!E10*37000)</f>
        <v>#DIV/0!</v>
      </c>
    </row>
    <row r="35" spans="1:3" x14ac:dyDescent="0.2">
      <c r="A35" s="19"/>
      <c r="B35" s="16"/>
      <c r="C35" s="17" t="e">
        <f>B35/('Input Function Calculation'!E10*37000)</f>
        <v>#DIV/0!</v>
      </c>
    </row>
    <row r="36" spans="1:3" x14ac:dyDescent="0.2">
      <c r="A36" s="19"/>
      <c r="B36" s="16"/>
      <c r="C36" s="17" t="e">
        <f>B36/('Input Function Calculation'!E10*37000)</f>
        <v>#DIV/0!</v>
      </c>
    </row>
    <row r="37" spans="1:3" x14ac:dyDescent="0.2">
      <c r="A37" s="19"/>
      <c r="B37" s="16"/>
      <c r="C37" s="17" t="e">
        <f>B37/('Input Function Calculation'!E10*37000)</f>
        <v>#DIV/0!</v>
      </c>
    </row>
    <row r="38" spans="1:3" x14ac:dyDescent="0.2">
      <c r="A38" s="19"/>
      <c r="B38" s="16"/>
      <c r="C38" s="17" t="e">
        <f>B38/('Input Function Calculation'!E10*37000)</f>
        <v>#DIV/0!</v>
      </c>
    </row>
    <row r="39" spans="1:3" x14ac:dyDescent="0.2">
      <c r="A39" s="19"/>
      <c r="B39" s="16"/>
      <c r="C39" s="17" t="e">
        <f>B39/('Input Function Calculation'!E10*37000)</f>
        <v>#DIV/0!</v>
      </c>
    </row>
    <row r="40" spans="1:3" x14ac:dyDescent="0.2">
      <c r="A40" s="19"/>
      <c r="B40" s="16"/>
      <c r="C40" s="17" t="e">
        <f>B40/('Input Function Calculation'!E10*37000)</f>
        <v>#DIV/0!</v>
      </c>
    </row>
    <row r="41" spans="1:3" x14ac:dyDescent="0.2">
      <c r="A41" s="19"/>
      <c r="B41" s="16"/>
      <c r="C41" s="17" t="e">
        <f>B41/('Input Function Calculation'!E10*37000)</f>
        <v>#DIV/0!</v>
      </c>
    </row>
    <row r="42" spans="1:3" x14ac:dyDescent="0.2">
      <c r="A42" s="19"/>
      <c r="B42" s="16"/>
      <c r="C42" s="17" t="e">
        <f>B42/('Input Function Calculation'!E10*37000)</f>
        <v>#DIV/0!</v>
      </c>
    </row>
    <row r="43" spans="1:3" x14ac:dyDescent="0.2">
      <c r="A43" s="19"/>
      <c r="B43" s="16"/>
      <c r="C43" s="17" t="e">
        <f>B43/('Input Function Calculation'!E10*37000)</f>
        <v>#DIV/0!</v>
      </c>
    </row>
    <row r="44" spans="1:3" x14ac:dyDescent="0.2">
      <c r="A44" s="19"/>
      <c r="B44" s="16"/>
      <c r="C44" s="17" t="e">
        <f>B44/('Input Function Calculation'!E10*37000)</f>
        <v>#DIV/0!</v>
      </c>
    </row>
    <row r="45" spans="1:3" x14ac:dyDescent="0.2">
      <c r="A45" s="19"/>
      <c r="B45" s="16"/>
      <c r="C45" s="17" t="e">
        <f>B45/('Input Function Calculation'!E10*37000)</f>
        <v>#DIV/0!</v>
      </c>
    </row>
    <row r="46" spans="1:3" x14ac:dyDescent="0.2">
      <c r="A46" s="19"/>
      <c r="B46" s="16"/>
      <c r="C46" s="17" t="e">
        <f>B46/('Input Function Calculation'!E10*37000)</f>
        <v>#DIV/0!</v>
      </c>
    </row>
    <row r="47" spans="1:3" x14ac:dyDescent="0.2">
      <c r="A47" s="19"/>
      <c r="B47" s="16"/>
      <c r="C47" s="17" t="e">
        <f>B47/('Input Function Calculation'!E10*37000)</f>
        <v>#DIV/0!</v>
      </c>
    </row>
    <row r="48" spans="1:3" x14ac:dyDescent="0.2">
      <c r="A48" s="19"/>
      <c r="B48" s="16"/>
      <c r="C48" s="17" t="e">
        <f>B48/('Input Function Calculation'!E10*37000)</f>
        <v>#DIV/0!</v>
      </c>
    </row>
    <row r="49" spans="1:3" x14ac:dyDescent="0.2">
      <c r="A49" s="19"/>
      <c r="B49" s="16"/>
      <c r="C49" s="17" t="e">
        <f>B49/('Input Function Calculation'!E10*37000)</f>
        <v>#DIV/0!</v>
      </c>
    </row>
    <row r="50" spans="1:3" x14ac:dyDescent="0.2">
      <c r="A50" s="19"/>
      <c r="B50" s="16"/>
      <c r="C50" s="17" t="e">
        <f>B50/('Input Function Calculation'!E10*37000)</f>
        <v>#DIV/0!</v>
      </c>
    </row>
    <row r="51" spans="1:3" x14ac:dyDescent="0.2">
      <c r="A51" s="19"/>
      <c r="B51" s="16"/>
      <c r="C51" s="17" t="e">
        <f>B51/('Input Function Calculation'!E10*37000)</f>
        <v>#DIV/0!</v>
      </c>
    </row>
    <row r="52" spans="1:3" x14ac:dyDescent="0.2">
      <c r="A52" s="19"/>
      <c r="B52" s="16"/>
      <c r="C52" s="17" t="e">
        <f>B52/('Input Function Calculation'!E10*37000)</f>
        <v>#DIV/0!</v>
      </c>
    </row>
    <row r="53" spans="1:3" x14ac:dyDescent="0.2">
      <c r="A53" s="19"/>
      <c r="B53" s="16"/>
      <c r="C53" s="17" t="e">
        <f>B53/('Input Function Calculation'!E10*37000)</f>
        <v>#DIV/0!</v>
      </c>
    </row>
    <row r="54" spans="1:3" x14ac:dyDescent="0.2">
      <c r="A54" s="19"/>
      <c r="B54" s="16"/>
      <c r="C54" s="17" t="e">
        <f>B54/('Input Function Calculation'!E10*37000)</f>
        <v>#DIV/0!</v>
      </c>
    </row>
    <row r="55" spans="1:3" x14ac:dyDescent="0.2">
      <c r="A55" s="19"/>
      <c r="B55" s="16"/>
      <c r="C55" s="17" t="e">
        <f>B55/('Input Function Calculation'!E10*37000)</f>
        <v>#DIV/0!</v>
      </c>
    </row>
    <row r="56" spans="1:3" x14ac:dyDescent="0.2">
      <c r="A56" s="19"/>
      <c r="B56" s="16"/>
      <c r="C56" s="17" t="e">
        <f>B56/('Input Function Calculation'!E10*37000)</f>
        <v>#DIV/0!</v>
      </c>
    </row>
    <row r="57" spans="1:3" x14ac:dyDescent="0.2">
      <c r="A57" s="19"/>
      <c r="B57" s="16"/>
      <c r="C57" s="17" t="e">
        <f>B57/('Input Function Calculation'!E10*37000)</f>
        <v>#DIV/0!</v>
      </c>
    </row>
    <row r="58" spans="1:3" x14ac:dyDescent="0.2">
      <c r="A58" s="19"/>
      <c r="B58" s="16"/>
      <c r="C58" s="17" t="e">
        <f>B58/('Input Function Calculation'!E10*37000)</f>
        <v>#DIV/0!</v>
      </c>
    </row>
    <row r="59" spans="1:3" x14ac:dyDescent="0.2">
      <c r="A59" s="19"/>
      <c r="B59" s="16"/>
      <c r="C59" s="17" t="e">
        <f>B59/('Input Function Calculation'!E10*37000)</f>
        <v>#DIV/0!</v>
      </c>
    </row>
  </sheetData>
  <mergeCells count="1">
    <mergeCell ref="D1:E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29"/>
  <sheetViews>
    <sheetView tabSelected="1" workbookViewId="0">
      <selection activeCell="E16" sqref="E16"/>
    </sheetView>
  </sheetViews>
  <sheetFormatPr baseColWidth="10" defaultRowHeight="15" x14ac:dyDescent="0.2"/>
  <sheetData>
    <row r="1" spans="1:2" x14ac:dyDescent="0.2">
      <c r="A1">
        <v>30</v>
      </c>
      <c r="B1">
        <v>74.810073830104002</v>
      </c>
    </row>
    <row r="2" spans="1:2" x14ac:dyDescent="0.2">
      <c r="A2">
        <v>90</v>
      </c>
      <c r="B2">
        <v>99.047558287008101</v>
      </c>
    </row>
    <row r="3" spans="1:2" x14ac:dyDescent="0.2">
      <c r="A3">
        <v>150</v>
      </c>
      <c r="B3">
        <v>111.447726577081</v>
      </c>
    </row>
    <row r="4" spans="1:2" x14ac:dyDescent="0.2">
      <c r="A4">
        <v>210</v>
      </c>
      <c r="B4">
        <v>122.43031514401299</v>
      </c>
    </row>
    <row r="5" spans="1:2" x14ac:dyDescent="0.2">
      <c r="A5">
        <v>270</v>
      </c>
      <c r="B5">
        <v>130.067380630965</v>
      </c>
    </row>
    <row r="6" spans="1:2" x14ac:dyDescent="0.2">
      <c r="A6">
        <v>330</v>
      </c>
      <c r="B6">
        <v>136.55757069625</v>
      </c>
    </row>
    <row r="7" spans="1:2" x14ac:dyDescent="0.2">
      <c r="A7">
        <v>390</v>
      </c>
      <c r="B7">
        <v>143.52708501384799</v>
      </c>
    </row>
    <row r="8" spans="1:2" x14ac:dyDescent="0.2">
      <c r="A8">
        <v>450</v>
      </c>
      <c r="B8">
        <v>144.61042166599699</v>
      </c>
    </row>
    <row r="9" spans="1:2" x14ac:dyDescent="0.2">
      <c r="A9">
        <v>510</v>
      </c>
      <c r="B9">
        <v>151.33301752914701</v>
      </c>
    </row>
    <row r="10" spans="1:2" x14ac:dyDescent="0.2">
      <c r="A10">
        <v>570</v>
      </c>
      <c r="B10">
        <v>151.59431045791999</v>
      </c>
    </row>
    <row r="11" spans="1:2" x14ac:dyDescent="0.2">
      <c r="A11">
        <v>660</v>
      </c>
      <c r="B11">
        <v>153.96517815326399</v>
      </c>
    </row>
    <row r="12" spans="1:2" x14ac:dyDescent="0.2">
      <c r="A12">
        <v>780</v>
      </c>
      <c r="B12">
        <v>157.55386295611399</v>
      </c>
    </row>
    <row r="13" spans="1:2" x14ac:dyDescent="0.2">
      <c r="A13">
        <v>900</v>
      </c>
      <c r="B13">
        <v>158.63116606182399</v>
      </c>
    </row>
    <row r="14" spans="1:2" x14ac:dyDescent="0.2">
      <c r="A14">
        <v>1020</v>
      </c>
      <c r="B14">
        <v>158.96854770121601</v>
      </c>
    </row>
    <row r="15" spans="1:2" x14ac:dyDescent="0.2">
      <c r="A15">
        <v>1140</v>
      </c>
      <c r="B15">
        <v>158.33891091797699</v>
      </c>
    </row>
    <row r="16" spans="1:2" x14ac:dyDescent="0.2">
      <c r="A16">
        <v>1260</v>
      </c>
      <c r="B16">
        <v>158.59785331852501</v>
      </c>
    </row>
    <row r="17" spans="1:2" x14ac:dyDescent="0.2">
      <c r="A17">
        <v>1380</v>
      </c>
      <c r="B17">
        <v>160.53222758232599</v>
      </c>
    </row>
    <row r="18" spans="1:2" x14ac:dyDescent="0.2">
      <c r="A18">
        <v>1500</v>
      </c>
      <c r="B18">
        <v>155.64611978456799</v>
      </c>
    </row>
    <row r="19" spans="1:2" x14ac:dyDescent="0.2">
      <c r="A19">
        <v>1620</v>
      </c>
      <c r="B19">
        <v>158.26834906819099</v>
      </c>
    </row>
    <row r="20" spans="1:2" x14ac:dyDescent="0.2">
      <c r="A20">
        <v>1740</v>
      </c>
      <c r="B20">
        <v>156.30946825890399</v>
      </c>
    </row>
    <row r="21" spans="1:2" x14ac:dyDescent="0.2">
      <c r="A21">
        <v>2100</v>
      </c>
      <c r="B21">
        <v>153.05528415339899</v>
      </c>
    </row>
    <row r="22" spans="1:2" x14ac:dyDescent="0.2">
      <c r="A22">
        <v>2700</v>
      </c>
      <c r="B22">
        <v>149.52841756241401</v>
      </c>
    </row>
    <row r="23" spans="1:2" x14ac:dyDescent="0.2">
      <c r="A23">
        <v>3300</v>
      </c>
      <c r="B23">
        <v>144.45707070729</v>
      </c>
    </row>
    <row r="24" spans="1:2" x14ac:dyDescent="0.2">
      <c r="A24">
        <v>3900</v>
      </c>
      <c r="B24">
        <v>139.61790234729199</v>
      </c>
    </row>
    <row r="25" spans="1:2" x14ac:dyDescent="0.2">
      <c r="A25">
        <v>4500</v>
      </c>
      <c r="B25">
        <v>135.82610897111201</v>
      </c>
    </row>
    <row r="26" spans="1:2" x14ac:dyDescent="0.2">
      <c r="A26">
        <v>5100</v>
      </c>
      <c r="B26">
        <v>132.08861545676899</v>
      </c>
    </row>
    <row r="27" spans="1:2" x14ac:dyDescent="0.2">
      <c r="A27">
        <v>5700</v>
      </c>
      <c r="B27">
        <v>128.22832559511701</v>
      </c>
    </row>
    <row r="28" spans="1:2" x14ac:dyDescent="0.2">
      <c r="A28">
        <v>6300</v>
      </c>
      <c r="B28">
        <v>125.245806375106</v>
      </c>
    </row>
    <row r="29" spans="1:2" x14ac:dyDescent="0.2">
      <c r="A29">
        <v>6900</v>
      </c>
      <c r="B29">
        <v>122.00679695238099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Input Function Calculation</vt:lpstr>
      <vt:lpstr>Extra Info</vt:lpstr>
      <vt:lpstr>TAC</vt:lpstr>
      <vt:lpstr>RAW</vt:lpstr>
      <vt:lpstr>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Microsoft Office User</cp:lastModifiedBy>
  <dcterms:created xsi:type="dcterms:W3CDTF">2016-08-11T15:00:06Z</dcterms:created>
  <dcterms:modified xsi:type="dcterms:W3CDTF">2017-03-13T23:04:58Z</dcterms:modified>
</cp:coreProperties>
</file>